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奥陶志留之交古环境研究\论文框架\HICE-碳同位素\NC-20230815投稿\"/>
    </mc:Choice>
  </mc:AlternateContent>
  <xr:revisionPtr revIDLastSave="0" documentId="13_ncr:1_{9C54E2A3-107E-4884-BDAD-227E81788E1A}" xr6:coauthVersionLast="36" xr6:coauthVersionMax="36" xr10:uidLastSave="{00000000-0000-0000-0000-000000000000}"/>
  <bookViews>
    <workbookView xWindow="1395" yWindow="0" windowWidth="17805" windowHeight="6945" tabRatio="547" xr2:uid="{00000000-000D-0000-FFFF-FFFF00000000}"/>
  </bookViews>
  <sheets>
    <sheet name="Dataset 2" sheetId="11" r:id="rId1"/>
  </sheets>
  <definedNames>
    <definedName name="_xlnm._FilterDatabase" localSheetId="0" hidden="1">'Dataset 2'!$I$1:$I$75</definedName>
  </definedNames>
  <calcPr calcId="162913"/>
</workbook>
</file>

<file path=xl/calcChain.xml><?xml version="1.0" encoding="utf-8"?>
<calcChain xmlns="http://schemas.openxmlformats.org/spreadsheetml/2006/main">
  <c r="W21" i="11" l="1"/>
  <c r="P65" i="11" l="1"/>
  <c r="P60" i="11"/>
  <c r="P48" i="11"/>
  <c r="P39" i="11"/>
  <c r="P33" i="11"/>
  <c r="P24" i="11"/>
  <c r="W63" i="11"/>
  <c r="W65" i="11"/>
  <c r="W73" i="11"/>
  <c r="P75" i="11" l="1"/>
  <c r="P74" i="11"/>
  <c r="P35" i="11"/>
  <c r="P34" i="11"/>
  <c r="P25" i="11"/>
  <c r="W3" i="11"/>
  <c r="W4" i="11" l="1"/>
  <c r="P57" i="11" l="1"/>
  <c r="P36" i="11"/>
  <c r="P37" i="11"/>
  <c r="P38" i="11"/>
  <c r="P43" i="11"/>
  <c r="P50" i="11"/>
  <c r="P51" i="11"/>
  <c r="P52" i="11"/>
  <c r="P53" i="11"/>
  <c r="P54" i="11"/>
  <c r="P55" i="11"/>
  <c r="P56" i="11"/>
  <c r="P58" i="11"/>
  <c r="P59" i="11"/>
  <c r="P61" i="11"/>
  <c r="P62" i="11"/>
  <c r="P63" i="11"/>
  <c r="P66" i="11"/>
  <c r="P67" i="11"/>
  <c r="P68" i="11"/>
  <c r="P69" i="11"/>
  <c r="P70" i="11"/>
  <c r="W44" i="11"/>
  <c r="W23" i="11"/>
  <c r="W22" i="11"/>
  <c r="W20" i="11"/>
  <c r="W7" i="11"/>
  <c r="P4" i="11"/>
  <c r="W5" i="11"/>
  <c r="W6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33" i="11"/>
  <c r="W42" i="11"/>
  <c r="W45" i="11"/>
  <c r="W46" i="11"/>
  <c r="W47" i="11"/>
  <c r="W48" i="11"/>
  <c r="W49" i="11"/>
  <c r="W51" i="11"/>
  <c r="W61" i="11"/>
  <c r="W62" i="11"/>
  <c r="W68" i="11"/>
  <c r="W69" i="11"/>
  <c r="W70" i="11"/>
  <c r="W72" i="11"/>
</calcChain>
</file>

<file path=xl/sharedStrings.xml><?xml version="1.0" encoding="utf-8"?>
<sst xmlns="http://schemas.openxmlformats.org/spreadsheetml/2006/main" count="682" uniqueCount="355">
  <si>
    <t>X-1</t>
  </si>
  <si>
    <t>JY11</t>
  </si>
  <si>
    <t>YY-1</t>
  </si>
  <si>
    <t>XY5</t>
  </si>
  <si>
    <t>Tongye-1</t>
  </si>
  <si>
    <t>Valga-10</t>
  </si>
  <si>
    <t>Kaugatuma</t>
  </si>
  <si>
    <t>Tamme</t>
  </si>
  <si>
    <t>Vodja</t>
  </si>
  <si>
    <t>Rapla</t>
  </si>
  <si>
    <t>Viljandi</t>
  </si>
  <si>
    <t>Osmundsberget 5</t>
  </si>
  <si>
    <t>Jutjärn</t>
  </si>
  <si>
    <t>Kallholn 1</t>
  </si>
  <si>
    <t>Copenhagen Canyon</t>
  </si>
  <si>
    <t>Blackstone river</t>
  </si>
  <si>
    <t>Pancake Range</t>
  </si>
  <si>
    <t>South Egan Range</t>
  </si>
  <si>
    <t>Silver Island NE</t>
  </si>
  <si>
    <t>Silver Island NW</t>
  </si>
  <si>
    <t>Eastern Anticosti Island</t>
  </si>
  <si>
    <t>NACP core</t>
  </si>
  <si>
    <t>Martin la Mer core</t>
  </si>
  <si>
    <t>D804,901</t>
  </si>
  <si>
    <t>D814, 909A/B</t>
  </si>
  <si>
    <t>914/A/B</t>
  </si>
  <si>
    <t>Truro Island</t>
  </si>
  <si>
    <t>Eleanor Lake</t>
  </si>
  <si>
    <t>Cape Phillips South</t>
  </si>
  <si>
    <t>Levín</t>
  </si>
  <si>
    <t>Zadní Třebáň</t>
  </si>
  <si>
    <t>Western Anticosti Island</t>
    <phoneticPr fontId="1" type="noConversion"/>
  </si>
  <si>
    <t>D816, D817</t>
    <phoneticPr fontId="1" type="noConversion"/>
  </si>
  <si>
    <t>D815, 912</t>
    <phoneticPr fontId="1" type="noConversion"/>
  </si>
  <si>
    <t>D801-D806</t>
    <phoneticPr fontId="1" type="noConversion"/>
  </si>
  <si>
    <t>SY-1</t>
    <phoneticPr fontId="1" type="noConversion"/>
  </si>
  <si>
    <t>Section/Core</t>
    <phoneticPr fontId="1" type="noConversion"/>
  </si>
  <si>
    <t>Section number</t>
    <phoneticPr fontId="1" type="noConversion"/>
  </si>
  <si>
    <t>Shuanghe#1</t>
    <phoneticPr fontId="1" type="noConversion"/>
  </si>
  <si>
    <t>Viki borehole</t>
    <phoneticPr fontId="1" type="noConversion"/>
  </si>
  <si>
    <t>Taagepera</t>
    <phoneticPr fontId="1" type="noConversion"/>
  </si>
  <si>
    <t>Kardla#1</t>
    <phoneticPr fontId="1" type="noConversion"/>
  </si>
  <si>
    <t>Dob’s Linn#1</t>
    <phoneticPr fontId="1" type="noConversion"/>
  </si>
  <si>
    <t>Vinini Creek#1</t>
    <phoneticPr fontId="1" type="noConversion"/>
  </si>
  <si>
    <t>Vinini Creek#2</t>
    <phoneticPr fontId="1" type="noConversion"/>
  </si>
  <si>
    <t>Monitor Range#1</t>
    <phoneticPr fontId="1" type="noConversion"/>
  </si>
  <si>
    <t>Wangjiawan#1</t>
    <phoneticPr fontId="1" type="noConversion"/>
  </si>
  <si>
    <t>Wangjiawan#2</t>
    <phoneticPr fontId="1" type="noConversion"/>
  </si>
  <si>
    <t>Wangjiawan North</t>
    <phoneticPr fontId="1" type="noConversion"/>
  </si>
  <si>
    <t xml:space="preserve">Location </t>
    <phoneticPr fontId="1" type="noConversion"/>
  </si>
  <si>
    <t>Geographical coordinates</t>
    <phoneticPr fontId="1" type="noConversion"/>
  </si>
  <si>
    <t>Description about depositional setting</t>
    <phoneticPr fontId="1" type="noConversion"/>
  </si>
  <si>
    <t>Simplified facies</t>
    <phoneticPr fontId="1" type="noConversion"/>
  </si>
  <si>
    <t>Water depth</t>
    <phoneticPr fontId="1" type="noConversion"/>
  </si>
  <si>
    <r>
      <t>δ</t>
    </r>
    <r>
      <rPr>
        <b/>
        <vertAlign val="superscript"/>
        <sz val="11"/>
        <rFont val="Times New Roman"/>
        <family val="1"/>
      </rPr>
      <t>13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carb</t>
    </r>
    <r>
      <rPr>
        <b/>
        <sz val="11"/>
        <rFont val="Times New Roman"/>
        <family val="1"/>
      </rPr>
      <t xml:space="preserve"> (‰ V-PDB)</t>
    </r>
    <phoneticPr fontId="1" type="noConversion"/>
  </si>
  <si>
    <r>
      <t>δ</t>
    </r>
    <r>
      <rPr>
        <b/>
        <vertAlign val="superscript"/>
        <sz val="11"/>
        <rFont val="Times New Roman"/>
        <family val="1"/>
      </rPr>
      <t>13</t>
    </r>
    <r>
      <rPr>
        <b/>
        <sz val="11"/>
        <rFont val="Times New Roman"/>
        <family val="1"/>
      </rPr>
      <t>C</t>
    </r>
    <r>
      <rPr>
        <b/>
        <vertAlign val="subscript"/>
        <sz val="11"/>
        <rFont val="Times New Roman"/>
        <family val="1"/>
      </rPr>
      <t>org</t>
    </r>
    <r>
      <rPr>
        <b/>
        <sz val="11"/>
        <rFont val="Times New Roman"/>
        <family val="1"/>
      </rPr>
      <t xml:space="preserve"> (‰ V-PDB)</t>
    </r>
    <phoneticPr fontId="1" type="noConversion"/>
  </si>
  <si>
    <t>References</t>
    <phoneticPr fontId="1" type="noConversion"/>
  </si>
  <si>
    <t>Latitude (°N)</t>
  </si>
  <si>
    <t>Longitude (°E)</t>
  </si>
  <si>
    <t>Pre median</t>
    <phoneticPr fontId="1" type="noConversion"/>
  </si>
  <si>
    <t>Rise min</t>
    <phoneticPr fontId="1" type="noConversion"/>
  </si>
  <si>
    <t>Rise max</t>
    <phoneticPr fontId="1" type="noConversion"/>
  </si>
  <si>
    <t>Plat med</t>
    <phoneticPr fontId="1" type="noConversion"/>
  </si>
  <si>
    <t>Fall min</t>
    <phoneticPr fontId="1" type="noConversion"/>
  </si>
  <si>
    <t>Post med</t>
    <phoneticPr fontId="1" type="noConversion"/>
  </si>
  <si>
    <t>Magnitude</t>
    <phoneticPr fontId="1" type="noConversion"/>
  </si>
  <si>
    <t>Yichang, Hubei Province</t>
  </si>
  <si>
    <t>South China</t>
  </si>
  <si>
    <t>30°58′56″</t>
  </si>
  <si>
    <t>111°25′10″</t>
  </si>
  <si>
    <t>deep outer shelf</t>
    <phoneticPr fontId="1" type="noConversion"/>
  </si>
  <si>
    <t>outer shelf</t>
    <phoneticPr fontId="1" type="noConversion"/>
  </si>
  <si>
    <t>intermediate</t>
    <phoneticPr fontId="1" type="noConversion"/>
  </si>
  <si>
    <t>Nanbazi</t>
  </si>
  <si>
    <t>Tongzi, Guizhou Province</t>
  </si>
  <si>
    <t>28°04′10″</t>
  </si>
  <si>
    <t>106°51′40″</t>
  </si>
  <si>
    <t>inner shelf</t>
    <phoneticPr fontId="1" type="noConversion"/>
  </si>
  <si>
    <t>shallow</t>
    <phoneticPr fontId="1" type="noConversion"/>
  </si>
  <si>
    <t>Honghuayuan</t>
  </si>
  <si>
    <t>28°4.252′</t>
  </si>
  <si>
    <t>106°50.896′</t>
  </si>
  <si>
    <t>Tianba</t>
  </si>
  <si>
    <t>Wuxi, Chongqing Municipality</t>
  </si>
  <si>
    <t>31°24′40.67″</t>
  </si>
  <si>
    <t>108°52′36.59″</t>
  </si>
  <si>
    <t>slope</t>
    <phoneticPr fontId="1" type="noConversion"/>
  </si>
  <si>
    <t>deep</t>
    <phoneticPr fontId="1" type="noConversion"/>
  </si>
  <si>
    <t>Datianba</t>
  </si>
  <si>
    <t>Xiushan, Chongqing Municipality</t>
  </si>
  <si>
    <t>28°17′50.9″</t>
  </si>
  <si>
    <t>108°56′9.2″</t>
  </si>
  <si>
    <t>inner shelf; 150 ± 50 m</t>
    <phoneticPr fontId="1" type="noConversion"/>
  </si>
  <si>
    <t>Qiliao</t>
  </si>
  <si>
    <t>Shizhu, Chongqing Municipality</t>
  </si>
  <si>
    <t>29°52′44.4″</t>
  </si>
  <si>
    <t>108°17′6.41″</t>
  </si>
  <si>
    <t xml:space="preserve">Mid shelf </t>
  </si>
  <si>
    <t>Changning, Sichuan Province</t>
  </si>
  <si>
    <t>28°23′52.9″</t>
  </si>
  <si>
    <t>104°52′26.7″</t>
  </si>
  <si>
    <t>paleoecologic evidence indicates similar to Wangjiawan; outer shelf</t>
    <phoneticPr fontId="1" type="noConversion"/>
  </si>
  <si>
    <t>Shuanghe#2</t>
    <phoneticPr fontId="1" type="noConversion"/>
  </si>
  <si>
    <t>PengYe-1</t>
  </si>
  <si>
    <t>Pengshui, Chongqing Municipality</t>
  </si>
  <si>
    <t>29°17′47″</t>
  </si>
  <si>
    <t>108°09′39″</t>
  </si>
  <si>
    <t>within the broad Chuandong depocenter</t>
    <phoneticPr fontId="1" type="noConversion"/>
  </si>
  <si>
    <t>Not given</t>
    <phoneticPr fontId="1" type="noConversion"/>
  </si>
  <si>
    <t>Wukemuchang</t>
  </si>
  <si>
    <t>Zhaojue, Sichuan Province</t>
  </si>
  <si>
    <t>27°35′24″</t>
  </si>
  <si>
    <t>102°46′37″</t>
  </si>
  <si>
    <t>very close to oldland</t>
    <phoneticPr fontId="1" type="noConversion"/>
  </si>
  <si>
    <t>near shore</t>
    <phoneticPr fontId="1" type="noConversion"/>
  </si>
  <si>
    <t>Sichuan Province</t>
  </si>
  <si>
    <t>28°03′</t>
  </si>
  <si>
    <t>107°02′</t>
  </si>
  <si>
    <t>deep inner shelf</t>
    <phoneticPr fontId="1" type="noConversion"/>
  </si>
  <si>
    <t>Western Chongqing Municipality</t>
  </si>
  <si>
    <t>29°17′55′′</t>
  </si>
  <si>
    <t>105°47′44′′</t>
  </si>
  <si>
    <t>Jiaoye</t>
  </si>
  <si>
    <t>Northeastern Shizhu, Chongqing Municipality</t>
  </si>
  <si>
    <t>29.613°</t>
  </si>
  <si>
    <t>107.588°</t>
  </si>
  <si>
    <t>same town as JY11; deep inner shelf</t>
    <phoneticPr fontId="1" type="noConversion"/>
  </si>
  <si>
    <t>Xiushan, Chongqing Municipality</t>
    <phoneticPr fontId="1" type="noConversion"/>
  </si>
  <si>
    <t>28°31′38′′</t>
  </si>
  <si>
    <t>109°09′25′′</t>
  </si>
  <si>
    <t>restrict inner shelf; 100-200 m</t>
    <phoneticPr fontId="1" type="noConversion"/>
  </si>
  <si>
    <t>Jurong, Jiangsu Province</t>
    <phoneticPr fontId="1" type="noConversion"/>
  </si>
  <si>
    <t>32°06′17″</t>
  </si>
  <si>
    <t>119°15′48″</t>
  </si>
  <si>
    <t>deep water; Jiangnan Slope</t>
    <phoneticPr fontId="1" type="noConversion"/>
  </si>
  <si>
    <t>Sommerodde-1 core</t>
    <phoneticPr fontId="1" type="noConversion"/>
  </si>
  <si>
    <t>Southern Bornholm</t>
  </si>
  <si>
    <t>Denmark</t>
  </si>
  <si>
    <t>54.997202°</t>
  </si>
  <si>
    <t>15.01870836°</t>
  </si>
  <si>
    <t>open; deeper part of foreland basin 1000±300</t>
    <phoneticPr fontId="1" type="noConversion"/>
  </si>
  <si>
    <t>basin</t>
    <phoneticPr fontId="1" type="noConversion"/>
  </si>
  <si>
    <t>Zwierzyniec-1</t>
  </si>
  <si>
    <t>Lublin Basin, Holy Cross Mountains</t>
  </si>
  <si>
    <t>Central Poland</t>
  </si>
  <si>
    <t>50°44′14.013″</t>
  </si>
  <si>
    <t>23°07′24.570″</t>
  </si>
  <si>
    <t>deep water; basin</t>
    <phoneticPr fontId="1" type="noConversion"/>
  </si>
  <si>
    <t>Western Saaremaa Island</t>
  </si>
  <si>
    <t>Estonia</t>
  </si>
  <si>
    <t>58.351068°</t>
  </si>
  <si>
    <t>22.079848°</t>
  </si>
  <si>
    <t>transitional area between shallow and deeper shelf area</t>
    <phoneticPr fontId="1" type="noConversion"/>
  </si>
  <si>
    <t>Valga</t>
  </si>
  <si>
    <t>South Estonia</t>
  </si>
  <si>
    <t>57°48.24′</t>
  </si>
  <si>
    <t>26°4.65′</t>
  </si>
  <si>
    <t>offshore and shelf depression</t>
    <phoneticPr fontId="1" type="noConversion"/>
  </si>
  <si>
    <t>North Estonia</t>
  </si>
  <si>
    <t>58.12377°</t>
  </si>
  <si>
    <t>22.1943°</t>
  </si>
  <si>
    <t>mid-shelf</t>
    <phoneticPr fontId="1" type="noConversion"/>
  </si>
  <si>
    <t>Emmaste</t>
  </si>
  <si>
    <t>58.815419°</t>
  </si>
  <si>
    <t>22.469827°</t>
  </si>
  <si>
    <t>shallow to mid-shelf; very close to the limit of post -sedimentary erosion</t>
    <phoneticPr fontId="1" type="noConversion"/>
  </si>
  <si>
    <t>Kareda</t>
  </si>
  <si>
    <t>58.927388°</t>
  </si>
  <si>
    <t>25.667925°</t>
  </si>
  <si>
    <t>Vistla-II</t>
  </si>
  <si>
    <t>Tamsalu</t>
  </si>
  <si>
    <t>59.181467°</t>
  </si>
  <si>
    <t>26.169447°</t>
  </si>
  <si>
    <t>Helme</t>
  </si>
  <si>
    <t>57.99212°</t>
    <phoneticPr fontId="1" type="noConversion"/>
  </si>
  <si>
    <t>25.67238°</t>
    <phoneticPr fontId="1" type="noConversion"/>
  </si>
  <si>
    <t>between northern shelf facies and southern more offshore facies</t>
    <phoneticPr fontId="1" type="noConversion"/>
  </si>
  <si>
    <t>Ruhnu</t>
  </si>
  <si>
    <t>57.80317°</t>
  </si>
  <si>
    <t>23.24138°</t>
  </si>
  <si>
    <t>Tähtvere</t>
  </si>
  <si>
    <t>58.439572°</t>
  </si>
  <si>
    <t>26.562072°</t>
  </si>
  <si>
    <t>mid-shelf; similar position of Viljandi</t>
    <phoneticPr fontId="1" type="noConversion"/>
  </si>
  <si>
    <t>Kardla#2</t>
    <phoneticPr fontId="1" type="noConversion"/>
  </si>
  <si>
    <t>Orjaku</t>
  </si>
  <si>
    <t>Käina</t>
  </si>
  <si>
    <t xml:space="preserve">Middle Estonia </t>
  </si>
  <si>
    <t>58.80133°</t>
  </si>
  <si>
    <t>22.75385°</t>
  </si>
  <si>
    <t>59.005638°</t>
  </si>
  <si>
    <t>24.794633°</t>
  </si>
  <si>
    <t>Suure-Jaani</t>
  </si>
  <si>
    <t>58.632739°</t>
  </si>
  <si>
    <t>25.599989°</t>
  </si>
  <si>
    <t>mid-shelf; similar position of Kardla and Kaugatuma</t>
    <phoneticPr fontId="1" type="noConversion"/>
  </si>
  <si>
    <t>Siljan</t>
  </si>
  <si>
    <t>Sweden</t>
  </si>
  <si>
    <t>61.048766°</t>
  </si>
  <si>
    <t>15.200777°</t>
  </si>
  <si>
    <t>mound and intermound facies; off reef facies</t>
  </si>
  <si>
    <t>60.983189°</t>
  </si>
  <si>
    <t>15.253575°</t>
  </si>
  <si>
    <t>Östbjörka</t>
  </si>
  <si>
    <t>60.977385°</t>
  </si>
  <si>
    <t>15.136911°</t>
  </si>
  <si>
    <t>61.166869°</t>
  </si>
  <si>
    <t>14.710993°</t>
  </si>
  <si>
    <t>Kallholn 2</t>
  </si>
  <si>
    <t>Röstånga-1 core</t>
  </si>
  <si>
    <t>Scania Province</t>
  </si>
  <si>
    <t>56°00′21″</t>
  </si>
  <si>
    <t>13°170′26″</t>
  </si>
  <si>
    <t>Deeper part of foreland basin; 1000 ± 300 m</t>
    <phoneticPr fontId="1" type="noConversion"/>
  </si>
  <si>
    <t>Borenshult drillcore</t>
  </si>
  <si>
    <t>Motala</t>
  </si>
  <si>
    <t>58.56141°</t>
  </si>
  <si>
    <t>15.072212°</t>
  </si>
  <si>
    <t>Silty marl; Light greenish marl</t>
    <phoneticPr fontId="1" type="noConversion"/>
  </si>
  <si>
    <t>Southern Uplands</t>
  </si>
  <si>
    <t>Scotland</t>
  </si>
  <si>
    <t>55.44°</t>
    <phoneticPr fontId="1" type="noConversion"/>
  </si>
  <si>
    <t>3.27°</t>
    <phoneticPr fontId="1" type="noConversion"/>
  </si>
  <si>
    <t>deeper part of continental slope</t>
    <phoneticPr fontId="1" type="noConversion"/>
  </si>
  <si>
    <t>Dob’s Linn#2</t>
    <phoneticPr fontId="1" type="noConversion"/>
  </si>
  <si>
    <t>Dob’s Linn#3</t>
    <phoneticPr fontId="1" type="noConversion"/>
  </si>
  <si>
    <t>Roberts Mountains, Nevada</t>
  </si>
  <si>
    <t>USA</t>
  </si>
  <si>
    <t>Vinini Creek#3</t>
    <phoneticPr fontId="1" type="noConversion"/>
  </si>
  <si>
    <t>Copenhagen Canyon and Martin Ridge area, Nevada</t>
  </si>
  <si>
    <t>38.815°</t>
  </si>
  <si>
    <t>-116.669°</t>
  </si>
  <si>
    <t>LaPorte: outer platform environment of epeiric sea; Jones: slope</t>
    <phoneticPr fontId="1" type="noConversion"/>
  </si>
  <si>
    <t>Monitor Range#2</t>
    <phoneticPr fontId="1" type="noConversion"/>
  </si>
  <si>
    <t>Nevada</t>
  </si>
  <si>
    <t>a westward-dipping carbonate ramp leading from a shallow carbonate platform on the east to a deep basin on the west</t>
  </si>
  <si>
    <t>38.620°</t>
  </si>
  <si>
    <t>-115.851°</t>
  </si>
  <si>
    <t>shelf (close to slope)</t>
    <phoneticPr fontId="1" type="noConversion"/>
  </si>
  <si>
    <t>38.470°</t>
  </si>
  <si>
    <t>-114.972°</t>
  </si>
  <si>
    <t xml:space="preserve">shelf </t>
    <phoneticPr fontId="1" type="noConversion"/>
  </si>
  <si>
    <t>Utah</t>
  </si>
  <si>
    <t>deep shelf</t>
    <phoneticPr fontId="1" type="noConversion"/>
  </si>
  <si>
    <t>Table Head, Lousy Cove and Fox Point of Anticosti Island</t>
  </si>
  <si>
    <t>Canada</t>
  </si>
  <si>
    <t>West coast of Anticosti Island</t>
  </si>
  <si>
    <t>Center of Anticosti Island</t>
  </si>
  <si>
    <t>49°37′20′′</t>
  </si>
  <si>
    <t>-63°26′18′′</t>
  </si>
  <si>
    <t>49°17′01′′</t>
  </si>
  <si>
    <t>-62°47′46′′</t>
  </si>
  <si>
    <t>Laframboise Point, Anticosti Island</t>
  </si>
  <si>
    <t>49°48.350′</t>
  </si>
  <si>
    <t>-64°25.259′</t>
  </si>
  <si>
    <t>8 Mile Pool, Anticosti Island</t>
  </si>
  <si>
    <t>49°24.328′</t>
  </si>
  <si>
    <t>-62°21.420′</t>
  </si>
  <si>
    <t>9 Mile Pool, left, Anticosti Island</t>
  </si>
  <si>
    <t>49°24.015′</t>
  </si>
  <si>
    <t>-62°23.175′</t>
  </si>
  <si>
    <t>9 Mile Pool, right, Anticosti Island</t>
  </si>
  <si>
    <t>49°23.853′</t>
  </si>
  <si>
    <t>-62°23.583′</t>
  </si>
  <si>
    <t>Macaire Creek stream B, Anticosti Island</t>
  </si>
  <si>
    <t>49°22.498′</t>
  </si>
  <si>
    <t>-62°12.225′</t>
  </si>
  <si>
    <t>Lousy Cove, Anticosti Island</t>
  </si>
  <si>
    <t>49°19.198′</t>
  </si>
  <si>
    <t>-61°51.399′</t>
  </si>
  <si>
    <t>Junction Cliff, Anticosti Island</t>
  </si>
  <si>
    <t>49°49.567′</t>
  </si>
  <si>
    <t>-64°26.574′</t>
  </si>
  <si>
    <t>Ogilvie Mountains, Yukon</t>
  </si>
  <si>
    <t>intracratonic basin to carbonate slope environment</t>
    <phoneticPr fontId="1" type="noConversion"/>
  </si>
  <si>
    <t>Nunavut</t>
  </si>
  <si>
    <t>Arctic Canada</t>
  </si>
  <si>
    <t>75.306°</t>
  </si>
  <si>
    <t>-97.130°</t>
  </si>
  <si>
    <t>a distal ramp environment that was intermittently above and below storm wave base</t>
  </si>
  <si>
    <t>Cornwallis island</t>
  </si>
  <si>
    <t>75.373°</t>
  </si>
  <si>
    <t>-94.106°</t>
  </si>
  <si>
    <t>75°32′30″</t>
  </si>
  <si>
    <t>-94°31′48′′</t>
  </si>
  <si>
    <t>Near Prague</t>
  </si>
  <si>
    <t>Czech Republic</t>
  </si>
  <si>
    <t>49°55.677′</t>
  </si>
  <si>
    <t>14°00.770′</t>
  </si>
  <si>
    <t>open-marine siliciclastic shelf succession; shelf/deep shelf basin</t>
    <phoneticPr fontId="1" type="noConversion"/>
  </si>
  <si>
    <t>49º54.865′</t>
  </si>
  <si>
    <t>14º12.299′</t>
  </si>
  <si>
    <t>Cerro La Chilca Section</t>
    <phoneticPr fontId="1" type="noConversion"/>
  </si>
  <si>
    <t>Los Blanquitos Ridge</t>
  </si>
  <si>
    <t>Argentine Precordillera</t>
  </si>
  <si>
    <t>pelagic carbonate platform facies; the Sandbian Las Aguaditas Formation is paraconformably (erosional surface) overlain by a basal cherty pebbly conglomerate of the late Hirnantian–early Wenlockian La Chilca Formation</t>
    <phoneticPr fontId="1" type="noConversion"/>
  </si>
  <si>
    <t>Mirny Creek</t>
    <phoneticPr fontId="1" type="noConversion"/>
  </si>
  <si>
    <t>Omulev Mountains area</t>
  </si>
  <si>
    <t>Russia</t>
  </si>
  <si>
    <t>from deep-water graptolite shale to outer shelf brachiopod-coral-graptolite-bearing carbonates, locally with bioherms.</t>
    <phoneticPr fontId="1" type="noConversion"/>
  </si>
  <si>
    <t>Regional relative water depth</t>
    <phoneticPr fontId="1" type="noConversion"/>
  </si>
  <si>
    <t>Yan et al., 2009</t>
    <phoneticPr fontId="1" type="noConversion"/>
  </si>
  <si>
    <t>Gorjan et al., 2012</t>
    <phoneticPr fontId="1" type="noConversion"/>
  </si>
  <si>
    <t>Fan et al., 2009</t>
    <phoneticPr fontId="1" type="noConversion"/>
  </si>
  <si>
    <t>Zhang et al., 2009</t>
    <phoneticPr fontId="1" type="noConversion"/>
  </si>
  <si>
    <t>Liu et al., 2016, 2020</t>
    <phoneticPr fontId="1" type="noConversion"/>
  </si>
  <si>
    <t>Zou et al., 2018</t>
    <phoneticPr fontId="1" type="noConversion"/>
  </si>
  <si>
    <t>Li et al., 2019</t>
    <phoneticPr fontId="1" type="noConversion"/>
  </si>
  <si>
    <t>Li et al., 2021a</t>
    <phoneticPr fontId="1" type="noConversion"/>
  </si>
  <si>
    <t>Yang et al., 2021a</t>
    <phoneticPr fontId="1" type="noConversion"/>
  </si>
  <si>
    <t>Lu et al., 2021</t>
    <phoneticPr fontId="1" type="noConversion"/>
  </si>
  <si>
    <t>Li et al., 2021b</t>
    <phoneticPr fontId="1" type="noConversion"/>
  </si>
  <si>
    <t>Shen et al., 2019</t>
    <phoneticPr fontId="1" type="noConversion"/>
  </si>
  <si>
    <t>Hu et al., 2021</t>
    <phoneticPr fontId="1" type="noConversion"/>
  </si>
  <si>
    <t>Li et al., 2017</t>
    <phoneticPr fontId="1" type="noConversion"/>
  </si>
  <si>
    <t>Yang et al., 2020, 2021b</t>
    <phoneticPr fontId="1" type="noConversion"/>
  </si>
  <si>
    <t>Loydell et al., 2017; Hammarlund et al., 2019</t>
    <phoneticPr fontId="1" type="noConversion"/>
  </si>
  <si>
    <t>Sullivan et al., 2018</t>
  </si>
  <si>
    <t>Hints et al., 2014</t>
  </si>
  <si>
    <t>Kaljo et al., 2007; Delabroye et al., 2011</t>
  </si>
  <si>
    <t>Kaljo et al., 2001</t>
  </si>
  <si>
    <t>Kaljo et al., 2001; Brenchley et al., 2003</t>
    <phoneticPr fontId="1" type="noConversion"/>
  </si>
  <si>
    <t>Brenchley et al., 2003</t>
    <phoneticPr fontId="1" type="noConversion"/>
  </si>
  <si>
    <t>Young et al., 2010</t>
    <phoneticPr fontId="1" type="noConversion"/>
  </si>
  <si>
    <t>Kaljo et al., 2004</t>
  </si>
  <si>
    <t>Lehnert et al., 2012; Ebbestad et al., 2015</t>
    <phoneticPr fontId="1" type="noConversion"/>
  </si>
  <si>
    <t>Bergström et al., 2014; 2016; Young et al., 2020</t>
  </si>
  <si>
    <t>Bergström et al., 2012</t>
  </si>
  <si>
    <t>Underwood et al., 1997</t>
    <phoneticPr fontId="1" type="noConversion"/>
  </si>
  <si>
    <t>Hammarlund et al., 2012</t>
    <phoneticPr fontId="1" type="noConversion"/>
  </si>
  <si>
    <t>Koehler et al., 2019</t>
    <phoneticPr fontId="1" type="noConversion"/>
  </si>
  <si>
    <t>Larpote et al., 2009</t>
    <phoneticPr fontId="1" type="noConversion"/>
  </si>
  <si>
    <t>Ahm et al., 2017</t>
    <phoneticPr fontId="1" type="noConversion"/>
  </si>
  <si>
    <t>Jones et al., 2016</t>
    <phoneticPr fontId="1" type="noConversion"/>
  </si>
  <si>
    <t>Jones et al., 2016</t>
  </si>
  <si>
    <t>LaPorte et al., 2009</t>
    <phoneticPr fontId="1" type="noConversion"/>
  </si>
  <si>
    <t>Jones et al., 2015, 2016</t>
  </si>
  <si>
    <t>Delabroye et al., 2011, 2012</t>
  </si>
  <si>
    <t>Mauviel and Desrochers, 2016; McLaughlin et al., 2016; Sinnesael et al., 2021</t>
  </si>
  <si>
    <t>Braun et al., 2021</t>
  </si>
  <si>
    <t>Jones et al., 2011</t>
  </si>
  <si>
    <t>LaPorte et al., 2009; Holmden et al., 2013</t>
  </si>
  <si>
    <t>Melchin and Holmden, 2006; Melchin et al., 2013</t>
  </si>
  <si>
    <t>Mitchell et al., 2011; Melchin et al., 2013</t>
  </si>
  <si>
    <t>Sial et al., 2013</t>
  </si>
  <si>
    <t>Kaljo et al., 2012</t>
  </si>
  <si>
    <t>Liu et al., 2016</t>
    <phoneticPr fontId="1" type="noConversion"/>
  </si>
  <si>
    <t>Kaljo et al., 2001</t>
    <phoneticPr fontId="1" type="noConversion"/>
  </si>
  <si>
    <t>Delabroye et al., 2011; Jones et al., 2011, 2013; Ghienne et al., 2014; Mauviel and Desrochers, 2016</t>
    <phoneticPr fontId="1" type="noConversion"/>
  </si>
  <si>
    <t>Relative water depth within continental</t>
    <phoneticPr fontId="1" type="noConversion"/>
  </si>
  <si>
    <t>slope to a partial open ocean in the north</t>
    <phoneticPr fontId="1" type="noConversion"/>
  </si>
  <si>
    <t>shallow to mid-shelf; close to the limit of post -sedimentary erosion</t>
    <phoneticPr fontId="1" type="noConversion"/>
  </si>
  <si>
    <t>deepwater ocean floor to continental rise</t>
    <phoneticPr fontId="1" type="noConversion"/>
  </si>
  <si>
    <t xml:space="preserve">shallow water carbonate ramp; carbonate ramps in a shallow epeiric sea </t>
    <phoneticPr fontId="1" type="noConversion"/>
  </si>
  <si>
    <t>Kump et al., 1999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</si>
</sst>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"/>
    <numFmt numFmtId="179" formatCode="0.00_);[Red]\(0.00\)"/>
    <numFmt numFmtId="180" formatCode="0.0_);[Red]\(0.0\)"/>
  </numFmts>
  <fonts count="20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vertAlign val="subscript"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2C2C2B"/>
      <name val="Times New Roman"/>
      <family val="1"/>
    </font>
    <font>
      <sz val="11"/>
      <color rgb="FF323232"/>
      <name val="Times New Roman"/>
      <family val="1"/>
    </font>
    <font>
      <u/>
      <sz val="11"/>
      <name val="Times New Roman"/>
      <family val="1"/>
    </font>
    <font>
      <sz val="11"/>
      <color rgb="FF292B2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5" fillId="0" borderId="0">
      <alignment vertical="center"/>
    </xf>
  </cellStyleXfs>
  <cellXfs count="77">
    <xf numFmtId="0" fontId="0" fillId="0" borderId="0" xfId="0">
      <alignment vertical="center"/>
    </xf>
    <xf numFmtId="0" fontId="9" fillId="0" borderId="1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vertical="center" wrapText="1"/>
    </xf>
    <xf numFmtId="2" fontId="14" fillId="0" borderId="0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quotePrefix="1" applyFont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179" fontId="14" fillId="0" borderId="0" xfId="0" applyNumberFormat="1" applyFont="1" applyFill="1" applyBorder="1" applyAlignment="1">
      <alignment horizontal="center" vertical="center"/>
    </xf>
    <xf numFmtId="179" fontId="13" fillId="0" borderId="2" xfId="0" applyNumberFormat="1" applyFont="1" applyBorder="1" applyAlignment="1">
      <alignment horizontal="center" vertical="center"/>
    </xf>
    <xf numFmtId="0" fontId="13" fillId="0" borderId="0" xfId="0" applyFont="1">
      <alignment vertical="center"/>
    </xf>
    <xf numFmtId="179" fontId="13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49" fontId="9" fillId="0" borderId="0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0" fontId="13" fillId="0" borderId="1" xfId="0" applyNumberFormat="1" applyFont="1" applyBorder="1" applyAlignment="1">
      <alignment horizontal="center" vertical="center"/>
    </xf>
    <xf numFmtId="180" fontId="13" fillId="3" borderId="0" xfId="0" applyNumberFormat="1" applyFont="1" applyFill="1" applyAlignment="1">
      <alignment horizontal="center" vertical="center"/>
    </xf>
    <xf numFmtId="180" fontId="14" fillId="0" borderId="0" xfId="0" applyNumberFormat="1" applyFont="1" applyFill="1" applyBorder="1" applyAlignment="1">
      <alignment horizontal="center" vertical="center"/>
    </xf>
    <xf numFmtId="180" fontId="14" fillId="0" borderId="1" xfId="0" applyNumberFormat="1" applyFont="1" applyFill="1" applyBorder="1" applyAlignment="1">
      <alignment horizontal="center" vertical="center"/>
    </xf>
    <xf numFmtId="180" fontId="14" fillId="2" borderId="0" xfId="0" applyNumberFormat="1" applyFont="1" applyFill="1" applyAlignment="1">
      <alignment horizontal="center" vertical="center"/>
    </xf>
    <xf numFmtId="180" fontId="13" fillId="0" borderId="2" xfId="0" applyNumberFormat="1" applyFont="1" applyBorder="1" applyAlignment="1">
      <alignment horizontal="center" vertical="center"/>
    </xf>
    <xf numFmtId="177" fontId="14" fillId="3" borderId="0" xfId="0" applyNumberFormat="1" applyFont="1" applyFill="1" applyBorder="1" applyAlignment="1">
      <alignment horizontal="center" vertical="center"/>
    </xf>
    <xf numFmtId="177" fontId="14" fillId="0" borderId="0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77" fontId="14" fillId="0" borderId="0" xfId="0" applyNumberFormat="1" applyFont="1" applyFill="1" applyAlignment="1">
      <alignment horizontal="center" vertical="center"/>
    </xf>
    <xf numFmtId="177" fontId="14" fillId="0" borderId="0" xfId="0" applyNumberFormat="1" applyFont="1" applyFill="1" applyBorder="1" applyAlignment="1" applyProtection="1">
      <alignment horizontal="center" vertical="center"/>
    </xf>
    <xf numFmtId="177" fontId="14" fillId="0" borderId="0" xfId="0" applyNumberFormat="1" applyFont="1" applyFill="1" applyAlignment="1">
      <alignment horizontal="center" vertical="center" wrapText="1"/>
    </xf>
    <xf numFmtId="177" fontId="14" fillId="0" borderId="4" xfId="0" applyNumberFormat="1" applyFont="1" applyFill="1" applyBorder="1" applyAlignment="1">
      <alignment horizontal="center" vertical="center" wrapText="1"/>
    </xf>
    <xf numFmtId="177" fontId="14" fillId="3" borderId="0" xfId="0" applyNumberFormat="1" applyFont="1" applyFill="1" applyAlignment="1">
      <alignment horizontal="center" vertical="center"/>
    </xf>
    <xf numFmtId="177" fontId="14" fillId="0" borderId="0" xfId="0" quotePrefix="1" applyNumberFormat="1" applyFont="1" applyFill="1" applyAlignment="1">
      <alignment horizontal="center" vertical="center"/>
    </xf>
    <xf numFmtId="177" fontId="14" fillId="0" borderId="0" xfId="0" applyNumberFormat="1" applyFont="1" applyFill="1" applyBorder="1" applyAlignment="1">
      <alignment horizontal="center" vertical="center" wrapText="1"/>
    </xf>
    <xf numFmtId="177" fontId="14" fillId="0" borderId="1" xfId="0" quotePrefix="1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</cellXfs>
  <cellStyles count="10">
    <cellStyle name="Normal 2" xfId="4" xr:uid="{00000000-0005-0000-0000-000000000000}"/>
    <cellStyle name="常规" xfId="0" builtinId="0"/>
    <cellStyle name="常规 2" xfId="1" xr:uid="{00000000-0005-0000-0000-000002000000}"/>
    <cellStyle name="常规 2 2" xfId="6" xr:uid="{00000000-0005-0000-0000-000003000000}"/>
    <cellStyle name="常规 2 2 2" xfId="2" xr:uid="{00000000-0005-0000-0000-000004000000}"/>
    <cellStyle name="常规 2 3" xfId="7" xr:uid="{00000000-0005-0000-0000-000005000000}"/>
    <cellStyle name="常规 3" xfId="3" xr:uid="{00000000-0005-0000-0000-000006000000}"/>
    <cellStyle name="常规 3 2" xfId="8" xr:uid="{00000000-0005-0000-0000-000007000000}"/>
    <cellStyle name="常规 4" xfId="9" xr:uid="{00000000-0005-0000-0000-000008000000}"/>
    <cellStyle name="常规 5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190499</xdr:colOff>
      <xdr:row>77</xdr:row>
      <xdr:rowOff>33618</xdr:rowOff>
    </xdr:from>
    <xdr:to>
      <xdr:col>17</xdr:col>
      <xdr:colOff>802821</xdr:colOff>
      <xdr:row>85</xdr:row>
      <xdr:rowOff>13607</xdr:rowOff>
    </xdr:to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38D7C404-D608-4C79-9931-702E260A94FE}"/>
            </a:ext>
          </a:extLst>
        </xdr:cNvPr>
        <xdr:cNvSpPr txBox="1"/>
      </xdr:nvSpPr>
      <xdr:spPr>
        <a:xfrm>
          <a:off x="6286499" y="18784261"/>
          <a:ext cx="16110858" cy="15039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800" b="1">
              <a:latin typeface="Times New Roman" panose="02020603050405020304" pitchFamily="18" charset="0"/>
              <a:cs typeface="Times New Roman" panose="02020603050405020304" pitchFamily="18" charset="0"/>
            </a:rPr>
            <a:t>Note:</a:t>
          </a:r>
        </a:p>
        <a:p>
          <a:pPr>
            <a:spcBef>
              <a:spcPts val="600"/>
            </a:spcBef>
          </a:pPr>
          <a:r>
            <a:rPr lang="en-US" altLang="zh-CN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The </a:t>
          </a:r>
          <a:r>
            <a:rPr lang="el-GR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δ</a:t>
          </a:r>
          <a:r>
            <a:rPr lang="el-GR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carb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records from Wangjiawan (South China) and Vinini Creek (United States) (shaded in light purple) were probably diagenetically altered according to the original authors (Larpote et al., 2009; Gorjan et al., 2012). Therefore, we removed these </a:t>
          </a:r>
          <a:r>
            <a:rPr lang="el-GR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δ</a:t>
          </a:r>
          <a:r>
            <a:rPr lang="el-GR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carb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records from further analysis. However, the results indicate that the inclusion or exclusion of these two sections does not affect the main conclusions of this study.</a:t>
          </a:r>
        </a:p>
        <a:p>
          <a:pPr>
            <a:spcBef>
              <a:spcPts val="600"/>
            </a:spcBef>
          </a:pPr>
          <a:r>
            <a:rPr lang="en-US" altLang="zh-CN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The excursion magnitude was calculated as offset between the Rise-max value and the median value of the Pre-HICE stage, except for the sections 24 to 30 (shaded in light green), which were calculated as offset between the Rise-max value and the Rise-max value because they do not have a complete Pre-HICE stage.</a:t>
          </a:r>
          <a:endParaRPr lang="en-US" altLang="zh-CN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225602</xdr:colOff>
      <xdr:row>85</xdr:row>
      <xdr:rowOff>184876</xdr:rowOff>
    </xdr:from>
    <xdr:to>
      <xdr:col>32</xdr:col>
      <xdr:colOff>455341</xdr:colOff>
      <xdr:row>173</xdr:row>
      <xdr:rowOff>17318</xdr:rowOff>
    </xdr:to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73ABB3D2-E4AF-44F7-8A88-682E3ECC4400}"/>
            </a:ext>
          </a:extLst>
        </xdr:cNvPr>
        <xdr:cNvSpPr txBox="1"/>
      </xdr:nvSpPr>
      <xdr:spPr>
        <a:xfrm>
          <a:off x="6338920" y="20273967"/>
          <a:ext cx="30640466" cy="1659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ct val="150000"/>
            </a:lnSpc>
          </a:pPr>
          <a:r>
            <a:rPr lang="en-US" altLang="zh-CN" sz="18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References</a:t>
          </a:r>
        </a:p>
        <a:p>
          <a:endParaRPr lang="en-US" altLang="zh-C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Ahm, A.C., Bjerrum, C., Hammarlund, E., Disentangling the record of diagenesis, local redox conditions, and global seawater chemistry during the latest Ordovician glaciation.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459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145–156 (2017).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Bergstroem, S., Eriksson, M.E., Young, S.A., Ahlberg, P.E., Schmitz, B., Hirnantian (latest Ordovician)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chemostratigraphy in southern Sweden and globally: a refined integration with the graptolite and conodont zone successions.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136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355–386 (2014).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Bergström, S.M., Eriksson, M.E., Schmitz, B., Young, S.A., Ahlberg, P., Upper Ordovician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org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chemostratigraphy, K-bentonite stratigraphy, and biostratigraphy in southern Scandinavia: A reappraisal.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175–188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Bergström, S.M., Lehnert, O., Calner, M., Joachimski, M.M., A new upper Middle Ordovician–Lower Silurian drillcore standard succession from Borenshult in Östergötland, southern Sweden: 2. Significance of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chemostratigraphy.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134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39–63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Braun, M.G., Daoust, P., Desrochers, A., A sequential record of the Llandovery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carb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excursions paired with time-specific facies: Anticosti Island, eastern Canada.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578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110566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Brenchley, P.J., Carden, G.A., Hints, L., Kaljo, D., Marshall, J.D., Martma, T., Meidla, T., Nõlvak, J., High–resolution stable isotope stratigraphy of Upper Ordovician sequences: Constraints on the timing of bioevents and environmental changes associated with mass extinction and glaciation.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Geol. Soc. Am. Bull.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115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89–104 (2003).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Delabroye, A., Munnecke, A., Servais, T., Vandenbroucke, T.R., Vecoli, M., Abnormal forms of acritarchs (phytoplankton) in the upper Hirnantian (Upper Ordovician) of Anticosti Island, Canada.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Rev. Palaeobot. Palyno.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173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46–56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Delabroye, A., Munnecke, A., Vecoli, M., Copper, P., Tribovillard, N., Joachimski, M., Desrochers, A., Servais, T., Phytoplankton dynamics across the Ordovician/Silurian boundary at low palaeolatitudes: Correlations with carbon isotopic and glacial events.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312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79–97 (2011).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Ebbestad, J.O., Högström, A.E., Frisk, Å.M., Martma, T., Kaljo, D., Kröger, B., Pärnaste, H., Terminal Ordovician stratigraphy of the Siljan district, Sweden.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36–56 (2015).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Fan, J.X., Peng, P.A., Melchin, M.J., Carbon isotopes and event stratigraphy near the Ordovician-Silurian boundary, Yichang,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160–169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Ghienne, J.F., Desrochers, A., Vandenbroucke, T.R.A., Achab, A., Asselin, E., Dabard, M. P., Farley, C., Loi, A., Paris, F., Wickson, S., Veizer, J., A cenozoic-style scenario for the end-Ordovician glaciation.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Nat. Commun.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4485 (2014).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Gorjan, P., Kaiho, K., Fike, D.A., Chen, X., Carbon– and sulfur–isotope geochemistry of the Hirnantian (Late Ordovician) Wangjiawan (Riverside) section, South China: Global correlation and environmental event interpretation.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14–22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Hammarlund, E.U., Dahl, T.W., Harper, D.A.T., Bond, D.P.G., Nielsen, A.T., Bjerrum, C.J., Niels H. Schovsbo, N.H., Schönlaub, H.P., Zalasiewicz, J.A., Canfield, D.E., A sulfidic driver for the end–Ordovician mass extinction.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331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–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128–139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Hammarlund, E.U., Loydell, D.K., Nielsen, A.T., Schovsbo, N.H., Early Silurian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org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excursions in the foreland basin of Baltica, both familiar and surprising.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526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126–135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Hints, O., Martma, T., Männik, P., Nõlvak, J., Põldvere, A., Shen, Y., Viira, V., New data on Ordovician stable isotope record and conodont biostratigraphy from the Viki reference drill core, Saaremaa Island, western Estonia.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136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100–104 (2014).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Holmden, C., Mitchell, C.E., Laporte, D., Patterson, W.P., Melchin, M.J., Finney, S.C., Nd isotope records of late Ordovician sea-level change—Implications for glaciation frequency and global stratigraphic correlation.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386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131–144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Hu, D.P., Li, M.H., Chen, J.B., Luo, Q.Y., Grasby, S.E., Zhang, T.G., Yuan, S.L., Xu, Y.L., Finney, S.C., Sun, L.L., Shen, Y.A., Major volcanic eruptions linked to the Late Ordovician mass extinction: Evidence from mercury enrichment and Hg isotopes.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Glob. Planet. Chang.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199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103374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Creel, R.C., Rios, B.A., Carbon isotope stratigraphy and correlation of depositional sequences in the Upper Ordovician Ely Springs Dolostone, eastern Great Basin, USA.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458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85–101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Creel, R.C., Rios, B.A., Ramos, D.P., Chemostratigraphy of an Ordovician–Silurian carbonate platform: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records below glacioeustatic exposure surfaces.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43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59–62 (2015).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Fike, D.A., Dynamic sulfur and carbon cycling through the end Ordovician extinction revealed by paired sulfate–pyrite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363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144–155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Jones, D.S., Fike, D.A., Finnegan, S., Fischer, W.W., Schrag, D.P., McCay, D., Terminal Ordovician carbon isotope stratigraphy and glacioeustatic sea–level change across Anticosti Island (Québec, Canada).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Geol. Soc. Am. Bull.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1645–1664 (2011).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Hints, L., Martma, T., Nõlvak, J., Carbon isotope stratigraphy in the latest Ordovician of Estonia.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Chem. Geol.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175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49–59 (2001).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Hints, L., Martma, T., Nõlvak, J., Oraspõld, A., Late Ordovician carbon isotope trend in Estonia, its significance in stratigraphy and environmental analysis.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210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165–185 (2004).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Männik, P., Martma, T., Nõlvak, J., More about the Ordovician–Silurian transition beds at Mirny Creek, Omulev Mountains, NE Russia: carbon isotopes and conodonts.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Est. J. Earth Sci.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61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277–294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Kaljo, D., Martma, T., Saadre, T., Post–Hunnebergian Ordovician carbon isotope trend in Baltoscandia, its environmental implications and some similarities with that of Nevada.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245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138–155 (2007).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Koehler, M.C., Stüeken, E.E., Hillier, S., Prave, A.R., Limitation of fixed nitrogen and deepening of the carbonate-compensation depth through the Hirnantian at Dob's Linn, Scotland.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109321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Kump, L.R., Arthur, M.A., Patzkowsky, M.E., Gibbs, M.T., Pinkus, D.S., Sheehan, P.M., A weathering hypothesis for glaciation at high atmospheric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during the Late Ordovician.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152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173–187 (1999).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Laporte, D.F., Holmden, C., Patterson, W., Loxton, J., Melchin, M., Mitchell, C., Finney, S., Sheets, H., Local and global perspectives on carbon and nitrogen cycling during the Hirnantian glaciation.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182–195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Lehnert, O., Meinhold, G., Bergstroem, S., Calner, M., Ebbestad, J.O., Egenhoff, S.O., Frisk, Å.M., Hannah, J.L., Högström, A.E., Huff, W.D., Juhlin, C., Maletz, J., Stein, H., Sturkell, E., Vandenbroucke, T.R., New Ordovician–Silurian drill cores from the Siljan impact structure in central Sweden: an integral part of the Swedish Deep Drilling Program.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GFF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87–98 (2012).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M., Luo, Q., Chen, J., Shi, S., Yang, J., Xu, X., Qin, J., Wang, Y., Dong, Q., Redox conditions and nitrogen cycling in the Late Ordovician Yangtze Sea (South China).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567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110305 (2021a).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N., Li, C., Fan, J.X., Algeo, T.J., Yan, D.T., Zhu, G.Y., Wu, S.Y., Tang, S.D., Cheng, M., Jin, C.S., Sulfate-controlled marine euxinia in the semi-restricted inner Yangtze Sea (South China) during the Ordovician-Silurian transition.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109281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Y., Schieber, J., Fan, T., Li, Z., Zhang, J., Regional depositional changes and their controls on carbon and sulfur cycling across the Ordovician-Silurian boundary, northwestern Guizhou,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485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816–832 (2017).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Li, Y., Zhang, T., Shen, B., Li, Z., Shao, D., Lash, G.G., Carbon and sulfur isotope variations through the Upper Ordovician and Lower Silurian of South China linked to volcanism.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567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110285 (2021b).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Liu, Y., Li, C., Algeo, T.J., Fan, J.X., Peng, P.A., Global and regional controls on marine redox changes across the Ordovician-Silurian boundary in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463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180–191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Liu, Y., Li, C., Fan, J.X., Algeo, T.J., Peng, P.A., Elevated marine productivity triggered nitrogen limitation on the Yangtze Platform (South China) during the Ordovician-Silurian transition.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109833 (2020).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Loydell, D.K., Walasek, N., Schovsbo, N.H., Nielsen, A.T., Graptolite biostratigraphy of the lower Silurian of the Sommerodde-1 core, Bornholm, Denmark.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B. Geol. Soc. Denmark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65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135–160 (2017).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Lu, Y., Hao, F., Yan, D., Lu, Y., Volcanism-induced late Boda warming in the Late Ordovician: Evidence from the Upper Yangtze Platform, South China. 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578</a:t>
          </a:r>
          <a:r>
            <a:rPr lang="en-US" altLang="zh-CN" sz="1400" b="1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110579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Mauviel, A., Desrochers, A., A high-resolution, continuous δ</a:t>
          </a:r>
          <a:r>
            <a:rPr lang="en-US" altLang="zh-CN" sz="1400" baseline="30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 record spanning the Ordovician–Silurian boundary on Anticosti Island, eastern Canada.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Can. J. Earth Sci.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795–801 (2016). 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McLaughlin, P.I., Emsbo, P., Desrochers, A., Bancroft, A.M., Brett, C.E., Riva, J., Premo, W.R., Neymark, L.A., Achab, A., Asselin, E., Emmons, M., Refining 2 km of Ordovician chronostratigraphy beneath Anticosti Island utilizing integrated chemostratigraphy.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Can. J. Earth Sci.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53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865–874 (2016).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Melchin, M.J., Holmden, C., Carbon isotope chemostratigraphy in Arctic Canada: Sea–level forcing of carbonate platform weathering and implications for Hirnantian global correlation.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234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186–200 (2006).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Melchin, M.J., Mitchell, C.E., Holmden, C., Storch, P., Environmental changes in the Late Ordovician–early Silurian: Review and new insights from black shales and nitrogen isotopes.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Geol. Soc. Am. Bull.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125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1635–1670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Mitchell, C.E., P. Štorch, Holmden, C., Melchin, M.J., Gutierrez-Marco, J.C., New stable isotope data and fossils from Hirnantian stage in Bohemia and Spain: implications for correlation and paleoclimate, in Gutiérrez-Marco, J.C., Rábano, I., and García-Bellido, D., eds., Ordovician of the World: Cuadernos del Museo Geominero, Instituto Geologico y Minero de España,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Madrid, Spain, 371–378 (2011).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Shen, J., Algeo, T.J., Chen, J., Planavsky, N.J., Feng, Q., Yu, J., Liu, J., Mercury in marine Ordovician/Silurian boundary sections of South China is sulfide-hosted and non-volcanic in origin.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Earth Planet. Sci. Lett.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511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130–140 (2019).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Sial, A.N., Peralta, S., Gaucher, C., Toselli, A.J., Ferreira, V.P., Frei, R., Parada, M.A., Pimentel, M.M., Pereira, N.S., High-resolution stable isotope stratigraphy of the upper Cambrian and Ordovician in the Argentine Precordillera: Carbon isotope excursions and correlations.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Gondwana Res.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330–348 (2013).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Sinnesael, M., McLaughlin, P.I., Desrochers, A., Mauviel, A., De Weirdt, J., Claeys, P., Vandenbroucke, T.R., Precession-driven climate cycles and time scale prior to the Hirnantian glacial maximum.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49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1295–1300 (2021).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Sullivan, N.B., Loydell, D.K., Montgomery, P., Molyneux, S.G., Zalasiewicz, J., Ratcliffe, K.T., Campbell, E., Griffiths, J.D., Lewis, G., A record of Late Ordovician to Silurian oceanographic events on the margin of Baltica based on new carbon isotope data, elemental geochemistry, and biostratigraphy from two boreholes in central Poland.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490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95–106 (2018).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Underwood, C.J., Crowley, S.F., Marshall, J.D., Brenchley, P.J., High-Resolution carbon isotope stratigraphy of the basal Silurian Stratotype (Dob's Linn, Scotland) and its global correlation.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Journal of the Geological Society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709–718 (1997).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Yan, D.T, Chen, D.Z, Wang, Q.C, Wang, J.G., Wang, Z.Z., Carbon and sulfur isotopic anomalies across the Ordovician–Silurian boundary on the Yangtze Platform,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274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32–39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Yang, S.C., Hu, W.X., Wang, X.L., Fan, J.X., Nitrogen isotope evidence for a redox-stratified ocean and eustasy-driven environmental evolution during the Ordovician–Silurian transition.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Glob. Planet. Chang.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207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103682 (2021b).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Yang, S.C., Hu, W.X., Yao, S.P., Wang, X.L., He, W.H., Wang, Y., Sun, F.N., Constraints on the accumulation of organic matter in Upper Ordovician-lower Silurian black shales from the Lower Yangtze region,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Mar. Pet. Geol.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120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104544 (2020).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Yang, X., Yan, D., Chen, D., Liu, M., She, X., Zhang, B., Zhang, L., Zhang, J., Spatiotemporal variations of sedimentary carbon and nitrogen isotopic compositions in the Yangtze Shelf Sea across the Ordovician-Silurian boundary.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567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110257 (2021a).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Young, S.A., Benayoun, E., Kozik, N.P., Hints, O., Martma, T., Bergström, S.M., Owens, J.D., Marine redox variability from Baltica during extinction events in the latest Ordovician–early Silurian.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554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109792 (2020).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Young, S.A., Saltzman, M.R., Ausich, W.I., Desrochers, A., Kaljo, D., Did changes in atmospheric CO</a:t>
          </a:r>
          <a:r>
            <a:rPr lang="en-US" altLang="zh-CN" sz="1400" baseline="-250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coincide with latest Ordovician glacial-interglacial cycles? 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Palaeogeogr. Palaeoclimatol. Palaeoecol.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296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376–388 (2010).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Zhang, T., Shen, Y., Zhan, R., Shen, S., Chen, X., Large perturbations of the carbon and sulfur cycle associated with the Late Ordovician mass extinction in South China.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37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299–302 (2009).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>
            <a:spcAft>
              <a:spcPts val="600"/>
            </a:spcAft>
          </a:pP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Zou, C.N., Qiu, Z., Poulton, S.W., Dong, D., Wang, H., Chen, D., Lu, B., Shi, Z., Tao, H., Ocean euxinia and climate change "double whammy" drove the Late Ordovician mass extinction. </a:t>
          </a:r>
          <a:r>
            <a:rPr lang="en-US" altLang="zh-CN" sz="1400" i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Geology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altLang="zh-C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46</a:t>
          </a:r>
          <a:r>
            <a:rPr lang="en-US" altLang="zh-CN" sz="14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535–538 (2018).</a:t>
          </a:r>
          <a:endParaRPr lang="zh-CN" altLang="zh-CN" sz="14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zh-CN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8EBF-759C-4B1C-88EC-EBEC64D7D373}">
  <dimension ref="A1:AA75"/>
  <sheetViews>
    <sheetView tabSelected="1" zoomScale="55" zoomScaleNormal="5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M11" sqref="M11"/>
    </sheetView>
  </sheetViews>
  <sheetFormatPr defaultRowHeight="15" x14ac:dyDescent="0.15"/>
  <cols>
    <col min="1" max="1" width="9" style="45"/>
    <col min="2" max="2" width="21.75" style="45" customWidth="1"/>
    <col min="3" max="3" width="49.25" style="45" customWidth="1"/>
    <col min="4" max="4" width="18.625" style="45" customWidth="1"/>
    <col min="5" max="6" width="13.5" style="45" customWidth="1"/>
    <col min="7" max="7" width="39.75" style="45" customWidth="1"/>
    <col min="8" max="9" width="16.125" style="45" customWidth="1"/>
    <col min="10" max="15" width="10.75" style="45" customWidth="1"/>
    <col min="16" max="16" width="10.75" style="5" customWidth="1"/>
    <col min="17" max="22" width="10.75" style="45" customWidth="1"/>
    <col min="23" max="23" width="12.375" style="46" customWidth="1"/>
    <col min="24" max="24" width="18.5" style="45" customWidth="1"/>
    <col min="25" max="25" width="16" style="45" customWidth="1"/>
    <col min="26" max="26" width="40.5" style="47" customWidth="1"/>
    <col min="27" max="27" width="10.25" style="47" customWidth="1"/>
    <col min="28" max="16384" width="9" style="45"/>
  </cols>
  <sheetData>
    <row r="1" spans="1:27" ht="20.100000000000001" customHeight="1" x14ac:dyDescent="0.15">
      <c r="A1" s="69" t="s">
        <v>37</v>
      </c>
      <c r="B1" s="71" t="s">
        <v>36</v>
      </c>
      <c r="C1" s="71" t="s">
        <v>49</v>
      </c>
      <c r="D1" s="71"/>
      <c r="E1" s="71" t="s">
        <v>50</v>
      </c>
      <c r="F1" s="71"/>
      <c r="G1" s="71" t="s">
        <v>51</v>
      </c>
      <c r="H1" s="73" t="s">
        <v>52</v>
      </c>
      <c r="I1" s="73" t="s">
        <v>53</v>
      </c>
      <c r="J1" s="73" t="s">
        <v>54</v>
      </c>
      <c r="K1" s="73"/>
      <c r="L1" s="73"/>
      <c r="M1" s="73"/>
      <c r="N1" s="73"/>
      <c r="O1" s="73"/>
      <c r="P1" s="73"/>
      <c r="Q1" s="73" t="s">
        <v>55</v>
      </c>
      <c r="R1" s="73"/>
      <c r="S1" s="73"/>
      <c r="T1" s="73"/>
      <c r="U1" s="73"/>
      <c r="V1" s="73"/>
      <c r="W1" s="73"/>
      <c r="X1" s="71" t="s">
        <v>349</v>
      </c>
      <c r="Y1" s="71" t="s">
        <v>300</v>
      </c>
      <c r="Z1" s="74" t="s">
        <v>56</v>
      </c>
      <c r="AA1" s="48"/>
    </row>
    <row r="2" spans="1:27" ht="20.100000000000001" customHeight="1" x14ac:dyDescent="0.15">
      <c r="A2" s="70"/>
      <c r="B2" s="72"/>
      <c r="C2" s="72"/>
      <c r="D2" s="72"/>
      <c r="E2" s="1" t="s">
        <v>57</v>
      </c>
      <c r="F2" s="1" t="s">
        <v>58</v>
      </c>
      <c r="G2" s="72"/>
      <c r="H2" s="76"/>
      <c r="I2" s="76"/>
      <c r="J2" s="42" t="s">
        <v>59</v>
      </c>
      <c r="K2" s="42" t="s">
        <v>60</v>
      </c>
      <c r="L2" s="42" t="s">
        <v>61</v>
      </c>
      <c r="M2" s="42" t="s">
        <v>62</v>
      </c>
      <c r="N2" s="42" t="s">
        <v>63</v>
      </c>
      <c r="O2" s="42" t="s">
        <v>64</v>
      </c>
      <c r="P2" s="41" t="s">
        <v>65</v>
      </c>
      <c r="Q2" s="42" t="s">
        <v>59</v>
      </c>
      <c r="R2" s="42" t="s">
        <v>60</v>
      </c>
      <c r="S2" s="42" t="s">
        <v>61</v>
      </c>
      <c r="T2" s="42" t="s">
        <v>62</v>
      </c>
      <c r="U2" s="42" t="s">
        <v>63</v>
      </c>
      <c r="V2" s="42" t="s">
        <v>64</v>
      </c>
      <c r="W2" s="41" t="s">
        <v>65</v>
      </c>
      <c r="X2" s="72"/>
      <c r="Y2" s="72"/>
      <c r="Z2" s="75"/>
      <c r="AA2" s="48"/>
    </row>
    <row r="3" spans="1:27" ht="20.100000000000001" customHeight="1" x14ac:dyDescent="0.15">
      <c r="A3" s="2">
        <v>1</v>
      </c>
      <c r="B3" s="3" t="s">
        <v>48</v>
      </c>
      <c r="C3" s="4" t="s">
        <v>66</v>
      </c>
      <c r="D3" s="5" t="s">
        <v>67</v>
      </c>
      <c r="E3" s="5" t="s">
        <v>68</v>
      </c>
      <c r="F3" s="5" t="s">
        <v>69</v>
      </c>
      <c r="G3" s="6" t="s">
        <v>70</v>
      </c>
      <c r="H3" s="7" t="s">
        <v>71</v>
      </c>
      <c r="I3" s="7" t="s">
        <v>72</v>
      </c>
      <c r="J3" s="8"/>
      <c r="K3" s="8"/>
      <c r="L3" s="8"/>
      <c r="M3" s="8"/>
      <c r="N3" s="8"/>
      <c r="O3" s="8"/>
      <c r="P3" s="43"/>
      <c r="Q3" s="58">
        <v>-30.61</v>
      </c>
      <c r="R3" s="58">
        <v>-30.72</v>
      </c>
      <c r="S3" s="58">
        <v>-27.64</v>
      </c>
      <c r="T3" s="58"/>
      <c r="U3" s="58">
        <v>-30.48</v>
      </c>
      <c r="V3" s="58">
        <v>-30.04</v>
      </c>
      <c r="W3" s="50">
        <f t="shared" ref="W3:W23" si="0">S3-Q3</f>
        <v>2.9699999999999989</v>
      </c>
      <c r="X3" s="3">
        <v>7</v>
      </c>
      <c r="Y3" s="7"/>
      <c r="Z3" s="5" t="s">
        <v>301</v>
      </c>
      <c r="AA3" s="5"/>
    </row>
    <row r="4" spans="1:27" ht="20.100000000000001" customHeight="1" x14ac:dyDescent="0.15">
      <c r="A4" s="2">
        <v>2</v>
      </c>
      <c r="B4" s="3" t="s">
        <v>46</v>
      </c>
      <c r="C4" s="4" t="s">
        <v>66</v>
      </c>
      <c r="D4" s="5" t="s">
        <v>67</v>
      </c>
      <c r="E4" s="5" t="s">
        <v>68</v>
      </c>
      <c r="F4" s="5" t="s">
        <v>69</v>
      </c>
      <c r="G4" s="6" t="s">
        <v>70</v>
      </c>
      <c r="H4" s="7" t="s">
        <v>71</v>
      </c>
      <c r="I4" s="7" t="s">
        <v>72</v>
      </c>
      <c r="J4" s="57">
        <v>-3.92</v>
      </c>
      <c r="K4" s="57">
        <v>-5.33</v>
      </c>
      <c r="L4" s="57">
        <v>1.32</v>
      </c>
      <c r="M4" s="57"/>
      <c r="N4" s="57">
        <v>-7.59</v>
      </c>
      <c r="O4" s="57">
        <v>-2.7</v>
      </c>
      <c r="P4" s="52">
        <f>L4-J4</f>
        <v>5.24</v>
      </c>
      <c r="Q4" s="58">
        <v>-29.8290477994911</v>
      </c>
      <c r="R4" s="58">
        <v>-30.148757646294499</v>
      </c>
      <c r="S4" s="58">
        <v>-27.552211335462498</v>
      </c>
      <c r="T4" s="58"/>
      <c r="U4" s="58">
        <v>-29.494072430033</v>
      </c>
      <c r="V4" s="58">
        <v>-29.516321117306298</v>
      </c>
      <c r="W4" s="50">
        <f t="shared" si="0"/>
        <v>2.2768364640286016</v>
      </c>
      <c r="X4" s="3">
        <v>7</v>
      </c>
      <c r="Y4" s="7"/>
      <c r="Z4" s="5" t="s">
        <v>302</v>
      </c>
      <c r="AA4" s="5"/>
    </row>
    <row r="5" spans="1:27" ht="20.100000000000001" customHeight="1" x14ac:dyDescent="0.15">
      <c r="A5" s="2">
        <v>3</v>
      </c>
      <c r="B5" s="3" t="s">
        <v>47</v>
      </c>
      <c r="C5" s="4" t="s">
        <v>66</v>
      </c>
      <c r="D5" s="5" t="s">
        <v>67</v>
      </c>
      <c r="E5" s="5" t="s">
        <v>68</v>
      </c>
      <c r="F5" s="5" t="s">
        <v>69</v>
      </c>
      <c r="G5" s="6" t="s">
        <v>70</v>
      </c>
      <c r="H5" s="7" t="s">
        <v>71</v>
      </c>
      <c r="I5" s="7" t="s">
        <v>72</v>
      </c>
      <c r="J5" s="58"/>
      <c r="K5" s="58"/>
      <c r="L5" s="58"/>
      <c r="M5" s="58"/>
      <c r="N5" s="58"/>
      <c r="O5" s="58"/>
      <c r="P5" s="53"/>
      <c r="Q5" s="58">
        <v>-30.19523809523805</v>
      </c>
      <c r="R5" s="58">
        <v>-30.238095238095202</v>
      </c>
      <c r="S5" s="58">
        <v>-28.523809523809501</v>
      </c>
      <c r="T5" s="58"/>
      <c r="U5" s="58">
        <v>-30.3333333333333</v>
      </c>
      <c r="V5" s="58">
        <v>-30.39047619047615</v>
      </c>
      <c r="W5" s="50">
        <f t="shared" si="0"/>
        <v>1.6714285714285495</v>
      </c>
      <c r="X5" s="3">
        <v>7</v>
      </c>
      <c r="Y5" s="7"/>
      <c r="Z5" s="5" t="s">
        <v>303</v>
      </c>
      <c r="AA5" s="5"/>
    </row>
    <row r="6" spans="1:27" ht="20.100000000000001" customHeight="1" x14ac:dyDescent="0.15">
      <c r="A6" s="2">
        <v>4</v>
      </c>
      <c r="B6" s="3" t="s">
        <v>73</v>
      </c>
      <c r="C6" s="4" t="s">
        <v>74</v>
      </c>
      <c r="D6" s="5" t="s">
        <v>67</v>
      </c>
      <c r="E6" s="5" t="s">
        <v>75</v>
      </c>
      <c r="F6" s="5" t="s">
        <v>76</v>
      </c>
      <c r="G6" s="6" t="s">
        <v>77</v>
      </c>
      <c r="H6" s="7" t="s">
        <v>77</v>
      </c>
      <c r="I6" s="8" t="s">
        <v>78</v>
      </c>
      <c r="J6" s="58"/>
      <c r="K6" s="58"/>
      <c r="L6" s="58"/>
      <c r="M6" s="58"/>
      <c r="N6" s="58"/>
      <c r="O6" s="58"/>
      <c r="P6" s="53"/>
      <c r="Q6" s="58">
        <v>-30.42</v>
      </c>
      <c r="R6" s="58">
        <v>-30.29</v>
      </c>
      <c r="S6" s="58">
        <v>-26.63</v>
      </c>
      <c r="T6" s="58"/>
      <c r="U6" s="58">
        <v>-29.23</v>
      </c>
      <c r="V6" s="58">
        <v>-28.25</v>
      </c>
      <c r="W6" s="50">
        <f t="shared" si="0"/>
        <v>3.7900000000000027</v>
      </c>
      <c r="X6" s="3">
        <v>14</v>
      </c>
      <c r="Y6" s="7"/>
      <c r="Z6" s="5" t="s">
        <v>301</v>
      </c>
      <c r="AA6" s="5"/>
    </row>
    <row r="7" spans="1:27" ht="20.100000000000001" customHeight="1" x14ac:dyDescent="0.15">
      <c r="A7" s="2">
        <v>5</v>
      </c>
      <c r="B7" s="3" t="s">
        <v>79</v>
      </c>
      <c r="C7" s="4" t="s">
        <v>74</v>
      </c>
      <c r="D7" s="5" t="s">
        <v>67</v>
      </c>
      <c r="E7" s="5" t="s">
        <v>80</v>
      </c>
      <c r="F7" s="5" t="s">
        <v>81</v>
      </c>
      <c r="G7" s="6" t="s">
        <v>77</v>
      </c>
      <c r="H7" s="7" t="s">
        <v>77</v>
      </c>
      <c r="I7" s="8" t="s">
        <v>78</v>
      </c>
      <c r="J7" s="58"/>
      <c r="K7" s="58"/>
      <c r="L7" s="58"/>
      <c r="M7" s="58"/>
      <c r="N7" s="58"/>
      <c r="O7" s="58"/>
      <c r="P7" s="53"/>
      <c r="Q7" s="58">
        <v>-30.31</v>
      </c>
      <c r="R7" s="58">
        <v>-30.33</v>
      </c>
      <c r="S7" s="58">
        <v>-27.35</v>
      </c>
      <c r="T7" s="58"/>
      <c r="U7" s="58">
        <v>-28.58</v>
      </c>
      <c r="V7" s="58">
        <v>-28.32</v>
      </c>
      <c r="W7" s="50">
        <f t="shared" si="0"/>
        <v>2.9599999999999973</v>
      </c>
      <c r="X7" s="3">
        <v>13</v>
      </c>
      <c r="Y7" s="7"/>
      <c r="Z7" s="5" t="s">
        <v>304</v>
      </c>
      <c r="AA7" s="5"/>
    </row>
    <row r="8" spans="1:27" ht="20.100000000000001" customHeight="1" x14ac:dyDescent="0.15">
      <c r="A8" s="2">
        <v>6</v>
      </c>
      <c r="B8" s="3" t="s">
        <v>82</v>
      </c>
      <c r="C8" s="4" t="s">
        <v>83</v>
      </c>
      <c r="D8" s="5" t="s">
        <v>67</v>
      </c>
      <c r="E8" s="5" t="s">
        <v>84</v>
      </c>
      <c r="F8" s="5" t="s">
        <v>85</v>
      </c>
      <c r="G8" s="6" t="s">
        <v>350</v>
      </c>
      <c r="H8" s="8" t="s">
        <v>86</v>
      </c>
      <c r="I8" s="8" t="s">
        <v>87</v>
      </c>
      <c r="J8" s="58"/>
      <c r="K8" s="58"/>
      <c r="L8" s="58"/>
      <c r="M8" s="58"/>
      <c r="N8" s="58"/>
      <c r="O8" s="58"/>
      <c r="P8" s="53"/>
      <c r="Q8" s="58">
        <v>-30.4</v>
      </c>
      <c r="R8" s="58">
        <v>-31.1</v>
      </c>
      <c r="S8" s="58">
        <v>-28.6</v>
      </c>
      <c r="T8" s="58"/>
      <c r="U8" s="58">
        <v>-30.5</v>
      </c>
      <c r="V8" s="58">
        <v>-30.4</v>
      </c>
      <c r="W8" s="50">
        <f t="shared" si="0"/>
        <v>1.7999999999999972</v>
      </c>
      <c r="X8" s="3">
        <v>2</v>
      </c>
      <c r="Y8" s="7"/>
      <c r="Z8" s="5" t="s">
        <v>306</v>
      </c>
      <c r="AA8" s="5"/>
    </row>
    <row r="9" spans="1:27" ht="20.100000000000001" customHeight="1" x14ac:dyDescent="0.15">
      <c r="A9" s="2">
        <v>7</v>
      </c>
      <c r="B9" s="3" t="s">
        <v>88</v>
      </c>
      <c r="C9" s="4" t="s">
        <v>89</v>
      </c>
      <c r="D9" s="5" t="s">
        <v>67</v>
      </c>
      <c r="E9" s="5" t="s">
        <v>90</v>
      </c>
      <c r="F9" s="5" t="s">
        <v>91</v>
      </c>
      <c r="G9" s="6" t="s">
        <v>92</v>
      </c>
      <c r="H9" s="7" t="s">
        <v>77</v>
      </c>
      <c r="I9" s="8" t="s">
        <v>78</v>
      </c>
      <c r="J9" s="58"/>
      <c r="K9" s="58"/>
      <c r="L9" s="58"/>
      <c r="M9" s="58"/>
      <c r="N9" s="58"/>
      <c r="O9" s="58"/>
      <c r="P9" s="53"/>
      <c r="Q9" s="58">
        <v>-30.5</v>
      </c>
      <c r="R9" s="58">
        <v>-31.1</v>
      </c>
      <c r="S9" s="58">
        <v>-27.6</v>
      </c>
      <c r="T9" s="66"/>
      <c r="U9" s="58">
        <v>-30.5</v>
      </c>
      <c r="V9" s="66">
        <v>-30.5</v>
      </c>
      <c r="W9" s="50">
        <f t="shared" si="0"/>
        <v>2.8999999999999986</v>
      </c>
      <c r="X9" s="3">
        <v>9</v>
      </c>
      <c r="Y9" s="7"/>
      <c r="Z9" s="5" t="s">
        <v>305</v>
      </c>
      <c r="AA9" s="5"/>
    </row>
    <row r="10" spans="1:27" ht="20.100000000000001" customHeight="1" x14ac:dyDescent="0.15">
      <c r="A10" s="2">
        <v>8</v>
      </c>
      <c r="B10" s="3" t="s">
        <v>93</v>
      </c>
      <c r="C10" s="4" t="s">
        <v>94</v>
      </c>
      <c r="D10" s="5" t="s">
        <v>67</v>
      </c>
      <c r="E10" s="5" t="s">
        <v>95</v>
      </c>
      <c r="F10" s="5" t="s">
        <v>96</v>
      </c>
      <c r="G10" s="6" t="s">
        <v>97</v>
      </c>
      <c r="H10" s="7" t="s">
        <v>71</v>
      </c>
      <c r="I10" s="7" t="s">
        <v>72</v>
      </c>
      <c r="J10" s="58"/>
      <c r="K10" s="58"/>
      <c r="L10" s="58"/>
      <c r="M10" s="58"/>
      <c r="N10" s="58"/>
      <c r="O10" s="58"/>
      <c r="P10" s="53"/>
      <c r="Q10" s="58">
        <v>-30.65</v>
      </c>
      <c r="R10" s="58">
        <v>-31.2</v>
      </c>
      <c r="S10" s="58">
        <v>-30.1</v>
      </c>
      <c r="T10" s="66"/>
      <c r="U10" s="58">
        <v>-30.9</v>
      </c>
      <c r="V10" s="66">
        <v>-30.8</v>
      </c>
      <c r="W10" s="50">
        <f t="shared" si="0"/>
        <v>0.54999999999999716</v>
      </c>
      <c r="X10" s="3">
        <v>5</v>
      </c>
      <c r="Y10" s="7"/>
      <c r="Z10" s="5" t="s">
        <v>306</v>
      </c>
      <c r="AA10" s="5"/>
    </row>
    <row r="11" spans="1:27" ht="20.100000000000001" customHeight="1" x14ac:dyDescent="0.15">
      <c r="A11" s="2">
        <v>9</v>
      </c>
      <c r="B11" s="3" t="s">
        <v>38</v>
      </c>
      <c r="C11" s="4" t="s">
        <v>98</v>
      </c>
      <c r="D11" s="5" t="s">
        <v>67</v>
      </c>
      <c r="E11" s="5" t="s">
        <v>99</v>
      </c>
      <c r="F11" s="5" t="s">
        <v>100</v>
      </c>
      <c r="G11" s="9" t="s">
        <v>101</v>
      </c>
      <c r="H11" s="7" t="s">
        <v>71</v>
      </c>
      <c r="I11" s="7" t="s">
        <v>72</v>
      </c>
      <c r="J11" s="58"/>
      <c r="K11" s="58"/>
      <c r="L11" s="58"/>
      <c r="M11" s="58"/>
      <c r="N11" s="58"/>
      <c r="O11" s="58"/>
      <c r="P11" s="53"/>
      <c r="Q11" s="58">
        <v>-30.4</v>
      </c>
      <c r="R11" s="58">
        <v>-30.7</v>
      </c>
      <c r="S11" s="58">
        <v>-29.4</v>
      </c>
      <c r="T11" s="66"/>
      <c r="U11" s="58">
        <v>-30.5</v>
      </c>
      <c r="V11" s="66">
        <v>-30.55</v>
      </c>
      <c r="W11" s="50">
        <f t="shared" si="0"/>
        <v>1</v>
      </c>
      <c r="X11" s="3">
        <v>6</v>
      </c>
      <c r="Y11" s="7"/>
      <c r="Z11" s="5" t="s">
        <v>306</v>
      </c>
      <c r="AA11" s="5"/>
    </row>
    <row r="12" spans="1:27" ht="20.100000000000001" customHeight="1" x14ac:dyDescent="0.15">
      <c r="A12" s="2">
        <v>10</v>
      </c>
      <c r="B12" s="3" t="s">
        <v>102</v>
      </c>
      <c r="C12" s="4" t="s">
        <v>98</v>
      </c>
      <c r="D12" s="5" t="s">
        <v>67</v>
      </c>
      <c r="E12" s="5" t="s">
        <v>99</v>
      </c>
      <c r="F12" s="5" t="s">
        <v>100</v>
      </c>
      <c r="G12" s="9" t="s">
        <v>101</v>
      </c>
      <c r="H12" s="7" t="s">
        <v>71</v>
      </c>
      <c r="I12" s="7" t="s">
        <v>72</v>
      </c>
      <c r="J12" s="58"/>
      <c r="K12" s="58"/>
      <c r="L12" s="58"/>
      <c r="M12" s="58"/>
      <c r="N12" s="58"/>
      <c r="O12" s="58"/>
      <c r="P12" s="53"/>
      <c r="Q12" s="58">
        <v>-30.46</v>
      </c>
      <c r="R12" s="58">
        <v>-30.8</v>
      </c>
      <c r="S12" s="58">
        <v>-29.01</v>
      </c>
      <c r="T12" s="66"/>
      <c r="U12" s="58">
        <v>-30.24</v>
      </c>
      <c r="V12" s="66">
        <v>-30.23</v>
      </c>
      <c r="W12" s="50">
        <f t="shared" si="0"/>
        <v>1.4499999999999993</v>
      </c>
      <c r="X12" s="3">
        <v>6</v>
      </c>
      <c r="Y12" s="7"/>
      <c r="Z12" s="5" t="s">
        <v>346</v>
      </c>
      <c r="AA12" s="5"/>
    </row>
    <row r="13" spans="1:27" ht="20.100000000000001" customHeight="1" x14ac:dyDescent="0.15">
      <c r="A13" s="2">
        <v>11</v>
      </c>
      <c r="B13" s="3" t="s">
        <v>103</v>
      </c>
      <c r="C13" s="4" t="s">
        <v>104</v>
      </c>
      <c r="D13" s="5" t="s">
        <v>67</v>
      </c>
      <c r="E13" s="5" t="s">
        <v>105</v>
      </c>
      <c r="F13" s="5" t="s">
        <v>106</v>
      </c>
      <c r="G13" s="9" t="s">
        <v>107</v>
      </c>
      <c r="H13" s="7" t="s">
        <v>71</v>
      </c>
      <c r="I13" s="7" t="s">
        <v>72</v>
      </c>
      <c r="J13" s="58"/>
      <c r="K13" s="58"/>
      <c r="L13" s="58"/>
      <c r="M13" s="58"/>
      <c r="N13" s="58"/>
      <c r="O13" s="58"/>
      <c r="P13" s="53"/>
      <c r="Q13" s="58">
        <v>-30.1</v>
      </c>
      <c r="R13" s="66">
        <v>-30.6</v>
      </c>
      <c r="S13" s="66">
        <v>-29.5</v>
      </c>
      <c r="T13" s="66"/>
      <c r="U13" s="66">
        <v>-30.6</v>
      </c>
      <c r="V13" s="66">
        <v>-30.6</v>
      </c>
      <c r="W13" s="50">
        <f t="shared" si="0"/>
        <v>0.60000000000000142</v>
      </c>
      <c r="X13" s="3">
        <v>4</v>
      </c>
      <c r="Y13" s="7"/>
      <c r="Z13" s="5" t="s">
        <v>307</v>
      </c>
      <c r="AA13" s="5"/>
    </row>
    <row r="14" spans="1:27" ht="20.100000000000001" customHeight="1" x14ac:dyDescent="0.15">
      <c r="A14" s="2">
        <v>12</v>
      </c>
      <c r="B14" s="3" t="s">
        <v>0</v>
      </c>
      <c r="C14" s="4" t="s">
        <v>89</v>
      </c>
      <c r="D14" s="5" t="s">
        <v>67</v>
      </c>
      <c r="E14" s="5" t="s">
        <v>108</v>
      </c>
      <c r="F14" s="5" t="s">
        <v>108</v>
      </c>
      <c r="G14" s="6" t="s">
        <v>92</v>
      </c>
      <c r="H14" s="7" t="s">
        <v>77</v>
      </c>
      <c r="I14" s="8" t="s">
        <v>78</v>
      </c>
      <c r="J14" s="58"/>
      <c r="K14" s="58"/>
      <c r="L14" s="58"/>
      <c r="M14" s="58"/>
      <c r="N14" s="58"/>
      <c r="O14" s="58"/>
      <c r="P14" s="53"/>
      <c r="Q14" s="58">
        <v>-30.5</v>
      </c>
      <c r="R14" s="58">
        <v>-30.7</v>
      </c>
      <c r="S14" s="58">
        <v>-28.8</v>
      </c>
      <c r="T14" s="66"/>
      <c r="U14" s="58">
        <v>-30.2</v>
      </c>
      <c r="V14" s="66">
        <v>-29.700000000000003</v>
      </c>
      <c r="W14" s="50">
        <f t="shared" si="0"/>
        <v>1.6999999999999993</v>
      </c>
      <c r="X14" s="3">
        <v>9</v>
      </c>
      <c r="Y14" s="7"/>
      <c r="Z14" s="5" t="s">
        <v>308</v>
      </c>
      <c r="AA14" s="5"/>
    </row>
    <row r="15" spans="1:27" ht="20.100000000000001" customHeight="1" x14ac:dyDescent="0.15">
      <c r="A15" s="2">
        <v>13</v>
      </c>
      <c r="B15" s="3" t="s">
        <v>109</v>
      </c>
      <c r="C15" s="4" t="s">
        <v>110</v>
      </c>
      <c r="D15" s="5" t="s">
        <v>67</v>
      </c>
      <c r="E15" s="5" t="s">
        <v>111</v>
      </c>
      <c r="F15" s="5" t="s">
        <v>112</v>
      </c>
      <c r="G15" s="6" t="s">
        <v>113</v>
      </c>
      <c r="H15" s="7" t="s">
        <v>114</v>
      </c>
      <c r="I15" s="8" t="s">
        <v>78</v>
      </c>
      <c r="J15" s="58"/>
      <c r="K15" s="58"/>
      <c r="L15" s="58"/>
      <c r="M15" s="58"/>
      <c r="N15" s="58"/>
      <c r="O15" s="58"/>
      <c r="P15" s="53"/>
      <c r="Q15" s="58">
        <v>-28.79</v>
      </c>
      <c r="R15" s="58">
        <v>-28.72</v>
      </c>
      <c r="S15" s="58">
        <v>-25.26</v>
      </c>
      <c r="T15" s="66"/>
      <c r="U15" s="58">
        <v>-30.56</v>
      </c>
      <c r="V15" s="66">
        <v>-30.5</v>
      </c>
      <c r="W15" s="50">
        <f t="shared" si="0"/>
        <v>3.5299999999999976</v>
      </c>
      <c r="X15" s="3">
        <v>15</v>
      </c>
      <c r="Y15" s="7"/>
      <c r="Z15" s="5" t="s">
        <v>309</v>
      </c>
      <c r="AA15" s="5"/>
    </row>
    <row r="16" spans="1:27" ht="20.100000000000001" customHeight="1" x14ac:dyDescent="0.15">
      <c r="A16" s="2">
        <v>14</v>
      </c>
      <c r="B16" s="3" t="s">
        <v>1</v>
      </c>
      <c r="C16" s="4" t="s">
        <v>115</v>
      </c>
      <c r="D16" s="5" t="s">
        <v>67</v>
      </c>
      <c r="E16" s="5" t="s">
        <v>116</v>
      </c>
      <c r="F16" s="5" t="s">
        <v>117</v>
      </c>
      <c r="G16" s="6" t="s">
        <v>118</v>
      </c>
      <c r="H16" s="7" t="s">
        <v>77</v>
      </c>
      <c r="I16" s="8" t="s">
        <v>78</v>
      </c>
      <c r="J16" s="58"/>
      <c r="K16" s="58"/>
      <c r="L16" s="58"/>
      <c r="M16" s="58"/>
      <c r="N16" s="58"/>
      <c r="O16" s="58"/>
      <c r="P16" s="53"/>
      <c r="Q16" s="58">
        <v>-29.53</v>
      </c>
      <c r="R16" s="58">
        <v>-29.92</v>
      </c>
      <c r="S16" s="58">
        <v>-26.67</v>
      </c>
      <c r="T16" s="66"/>
      <c r="U16" s="58">
        <v>-29.6</v>
      </c>
      <c r="V16" s="66">
        <v>-29.13</v>
      </c>
      <c r="W16" s="50">
        <f t="shared" si="0"/>
        <v>2.8599999999999994</v>
      </c>
      <c r="X16" s="3">
        <v>11</v>
      </c>
      <c r="Y16" s="7"/>
      <c r="Z16" s="5" t="s">
        <v>310</v>
      </c>
      <c r="AA16" s="5"/>
    </row>
    <row r="17" spans="1:27" ht="20.100000000000001" customHeight="1" x14ac:dyDescent="0.15">
      <c r="A17" s="2">
        <v>15</v>
      </c>
      <c r="B17" s="3" t="s">
        <v>2</v>
      </c>
      <c r="C17" s="4" t="s">
        <v>119</v>
      </c>
      <c r="D17" s="5" t="s">
        <v>67</v>
      </c>
      <c r="E17" s="5" t="s">
        <v>120</v>
      </c>
      <c r="F17" s="5" t="s">
        <v>121</v>
      </c>
      <c r="G17" s="6" t="s">
        <v>71</v>
      </c>
      <c r="H17" s="7" t="s">
        <v>71</v>
      </c>
      <c r="I17" s="7" t="s">
        <v>72</v>
      </c>
      <c r="J17" s="58"/>
      <c r="K17" s="58"/>
      <c r="L17" s="58"/>
      <c r="M17" s="58"/>
      <c r="N17" s="58"/>
      <c r="O17" s="58"/>
      <c r="P17" s="53"/>
      <c r="Q17" s="58">
        <v>-30.4</v>
      </c>
      <c r="R17" s="58">
        <v>-30.7</v>
      </c>
      <c r="S17" s="58">
        <v>-29.6</v>
      </c>
      <c r="T17" s="66"/>
      <c r="U17" s="58">
        <v>-30.8</v>
      </c>
      <c r="V17" s="66">
        <v>-29.9</v>
      </c>
      <c r="W17" s="50">
        <f t="shared" si="0"/>
        <v>0.79999999999999716</v>
      </c>
      <c r="X17" s="3">
        <v>3</v>
      </c>
      <c r="Y17" s="7"/>
      <c r="Z17" s="5" t="s">
        <v>311</v>
      </c>
      <c r="AA17" s="5"/>
    </row>
    <row r="18" spans="1:27" ht="20.100000000000001" customHeight="1" x14ac:dyDescent="0.15">
      <c r="A18" s="2">
        <v>16</v>
      </c>
      <c r="B18" s="3" t="s">
        <v>122</v>
      </c>
      <c r="C18" s="4" t="s">
        <v>123</v>
      </c>
      <c r="D18" s="5" t="s">
        <v>67</v>
      </c>
      <c r="E18" s="5" t="s">
        <v>124</v>
      </c>
      <c r="F18" s="5" t="s">
        <v>125</v>
      </c>
      <c r="G18" s="6" t="s">
        <v>126</v>
      </c>
      <c r="H18" s="7" t="s">
        <v>77</v>
      </c>
      <c r="I18" s="8" t="s">
        <v>78</v>
      </c>
      <c r="J18" s="58"/>
      <c r="K18" s="58"/>
      <c r="L18" s="58"/>
      <c r="M18" s="58"/>
      <c r="N18" s="58"/>
      <c r="O18" s="58"/>
      <c r="P18" s="53"/>
      <c r="Q18" s="58">
        <v>-30.684999999999999</v>
      </c>
      <c r="R18" s="66">
        <v>-31.03</v>
      </c>
      <c r="S18" s="66">
        <v>-29.56</v>
      </c>
      <c r="T18" s="66"/>
      <c r="U18" s="66"/>
      <c r="V18" s="66">
        <v>-30.445</v>
      </c>
      <c r="W18" s="50">
        <f t="shared" si="0"/>
        <v>1.125</v>
      </c>
      <c r="X18" s="3">
        <v>10</v>
      </c>
      <c r="Y18" s="7"/>
      <c r="Z18" s="5" t="s">
        <v>312</v>
      </c>
      <c r="AA18" s="5"/>
    </row>
    <row r="19" spans="1:27" ht="20.100000000000001" customHeight="1" x14ac:dyDescent="0.15">
      <c r="A19" s="2">
        <v>17</v>
      </c>
      <c r="B19" s="3" t="s">
        <v>3</v>
      </c>
      <c r="C19" s="4" t="s">
        <v>127</v>
      </c>
      <c r="D19" s="5" t="s">
        <v>67</v>
      </c>
      <c r="E19" s="5" t="s">
        <v>128</v>
      </c>
      <c r="F19" s="5" t="s">
        <v>129</v>
      </c>
      <c r="G19" s="6" t="s">
        <v>130</v>
      </c>
      <c r="H19" s="7" t="s">
        <v>77</v>
      </c>
      <c r="I19" s="8" t="s">
        <v>78</v>
      </c>
      <c r="J19" s="58"/>
      <c r="K19" s="58"/>
      <c r="L19" s="58"/>
      <c r="M19" s="58"/>
      <c r="N19" s="58"/>
      <c r="O19" s="58"/>
      <c r="P19" s="53"/>
      <c r="Q19" s="58">
        <v>-30.8</v>
      </c>
      <c r="R19" s="58">
        <v>-31.1</v>
      </c>
      <c r="S19" s="58">
        <v>-29.2</v>
      </c>
      <c r="T19" s="66">
        <v>-29.700000000000003</v>
      </c>
      <c r="U19" s="66"/>
      <c r="V19" s="66"/>
      <c r="W19" s="50">
        <f t="shared" si="0"/>
        <v>1.6000000000000014</v>
      </c>
      <c r="X19" s="3">
        <v>8</v>
      </c>
      <c r="Y19" s="7"/>
      <c r="Z19" s="5" t="s">
        <v>313</v>
      </c>
      <c r="AA19" s="5"/>
    </row>
    <row r="20" spans="1:27" ht="20.100000000000001" customHeight="1" x14ac:dyDescent="0.15">
      <c r="A20" s="2">
        <v>18</v>
      </c>
      <c r="B20" s="3" t="s">
        <v>4</v>
      </c>
      <c r="C20" s="4" t="s">
        <v>74</v>
      </c>
      <c r="D20" s="5" t="s">
        <v>67</v>
      </c>
      <c r="E20" s="5" t="s">
        <v>108</v>
      </c>
      <c r="F20" s="5" t="s">
        <v>108</v>
      </c>
      <c r="G20" s="6" t="s">
        <v>77</v>
      </c>
      <c r="H20" s="7" t="s">
        <v>77</v>
      </c>
      <c r="I20" s="8" t="s">
        <v>78</v>
      </c>
      <c r="J20" s="58"/>
      <c r="K20" s="58"/>
      <c r="L20" s="58"/>
      <c r="M20" s="58"/>
      <c r="N20" s="58"/>
      <c r="O20" s="58"/>
      <c r="P20" s="53"/>
      <c r="Q20" s="58">
        <v>-29.25</v>
      </c>
      <c r="R20" s="58">
        <v>-30.34</v>
      </c>
      <c r="S20" s="58">
        <v>-28.32</v>
      </c>
      <c r="T20" s="66"/>
      <c r="U20" s="58">
        <v>-30.85</v>
      </c>
      <c r="V20" s="66">
        <v>-30.450000000000003</v>
      </c>
      <c r="W20" s="50">
        <f t="shared" si="0"/>
        <v>0.92999999999999972</v>
      </c>
      <c r="X20" s="3">
        <v>12</v>
      </c>
      <c r="Y20" s="7"/>
      <c r="Z20" s="5" t="s">
        <v>314</v>
      </c>
      <c r="AA20" s="5"/>
    </row>
    <row r="21" spans="1:27" ht="20.100000000000001" customHeight="1" x14ac:dyDescent="0.15">
      <c r="A21" s="11">
        <v>19</v>
      </c>
      <c r="B21" s="12" t="s">
        <v>35</v>
      </c>
      <c r="C21" s="13" t="s">
        <v>131</v>
      </c>
      <c r="D21" s="14" t="s">
        <v>67</v>
      </c>
      <c r="E21" s="14" t="s">
        <v>132</v>
      </c>
      <c r="F21" s="14" t="s">
        <v>133</v>
      </c>
      <c r="G21" s="15" t="s">
        <v>134</v>
      </c>
      <c r="H21" s="16" t="s">
        <v>86</v>
      </c>
      <c r="I21" s="16" t="s">
        <v>87</v>
      </c>
      <c r="J21" s="59"/>
      <c r="K21" s="59"/>
      <c r="L21" s="59"/>
      <c r="M21" s="59"/>
      <c r="N21" s="59"/>
      <c r="O21" s="59"/>
      <c r="P21" s="54"/>
      <c r="Q21" s="59">
        <v>-31.413324656062947</v>
      </c>
      <c r="R21" s="59">
        <v>-32.1265145547085</v>
      </c>
      <c r="S21" s="59">
        <v>-30.800106188113698</v>
      </c>
      <c r="T21" s="68">
        <v>-30.91377894892825</v>
      </c>
      <c r="U21" s="59">
        <v>-32.033444647194003</v>
      </c>
      <c r="V21" s="68">
        <v>-30.7699703468558</v>
      </c>
      <c r="W21" s="51">
        <f>S21-Q21</f>
        <v>0.61321846794924895</v>
      </c>
      <c r="X21" s="12">
        <v>1</v>
      </c>
      <c r="Y21" s="16"/>
      <c r="Z21" s="14" t="s">
        <v>315</v>
      </c>
      <c r="AA21" s="49"/>
    </row>
    <row r="22" spans="1:27" ht="20.100000000000001" customHeight="1" x14ac:dyDescent="0.15">
      <c r="A22" s="2">
        <v>20</v>
      </c>
      <c r="B22" s="17" t="s">
        <v>135</v>
      </c>
      <c r="C22" s="18" t="s">
        <v>136</v>
      </c>
      <c r="D22" s="19" t="s">
        <v>137</v>
      </c>
      <c r="E22" s="20" t="s">
        <v>138</v>
      </c>
      <c r="F22" s="20" t="s">
        <v>139</v>
      </c>
      <c r="G22" s="21" t="s">
        <v>140</v>
      </c>
      <c r="H22" s="8" t="s">
        <v>141</v>
      </c>
      <c r="I22" s="8" t="s">
        <v>87</v>
      </c>
      <c r="J22" s="60"/>
      <c r="K22" s="60"/>
      <c r="L22" s="60"/>
      <c r="M22" s="60"/>
      <c r="N22" s="60"/>
      <c r="O22" s="60"/>
      <c r="P22" s="50"/>
      <c r="Q22" s="60">
        <v>-29.77</v>
      </c>
      <c r="R22" s="58">
        <v>-31.39</v>
      </c>
      <c r="S22" s="58">
        <v>-27.7</v>
      </c>
      <c r="T22" s="62"/>
      <c r="U22" s="58">
        <v>-31</v>
      </c>
      <c r="V22" s="62">
        <v>-30.73</v>
      </c>
      <c r="W22" s="50">
        <f t="shared" si="0"/>
        <v>2.0700000000000003</v>
      </c>
      <c r="X22" s="17">
        <v>1</v>
      </c>
      <c r="Y22" s="7"/>
      <c r="Z22" s="5" t="s">
        <v>316</v>
      </c>
      <c r="AA22" s="5"/>
    </row>
    <row r="23" spans="1:27" ht="20.100000000000001" customHeight="1" x14ac:dyDescent="0.15">
      <c r="A23" s="2">
        <v>21</v>
      </c>
      <c r="B23" s="17" t="s">
        <v>142</v>
      </c>
      <c r="C23" s="18" t="s">
        <v>143</v>
      </c>
      <c r="D23" s="5" t="s">
        <v>144</v>
      </c>
      <c r="E23" s="22" t="s">
        <v>145</v>
      </c>
      <c r="F23" s="23" t="s">
        <v>146</v>
      </c>
      <c r="G23" s="24" t="s">
        <v>147</v>
      </c>
      <c r="H23" s="8" t="s">
        <v>141</v>
      </c>
      <c r="I23" s="8" t="s">
        <v>87</v>
      </c>
      <c r="J23" s="60"/>
      <c r="K23" s="60"/>
      <c r="L23" s="60"/>
      <c r="M23" s="60"/>
      <c r="N23" s="60"/>
      <c r="O23" s="60"/>
      <c r="P23" s="50"/>
      <c r="Q23" s="60">
        <v>-30.137464897499999</v>
      </c>
      <c r="R23" s="58">
        <v>-30.541550000000001</v>
      </c>
      <c r="S23" s="58">
        <v>-27.049769000000001</v>
      </c>
      <c r="T23" s="62">
        <v>-27.987385</v>
      </c>
      <c r="U23" s="58">
        <v>-33.898565249999997</v>
      </c>
      <c r="V23" s="62">
        <v>-29.2164131</v>
      </c>
      <c r="W23" s="50">
        <f t="shared" si="0"/>
        <v>3.087695897499998</v>
      </c>
      <c r="X23" s="17">
        <v>3</v>
      </c>
      <c r="Y23" s="25"/>
      <c r="Z23" s="5" t="s">
        <v>317</v>
      </c>
      <c r="AA23" s="5"/>
    </row>
    <row r="24" spans="1:27" ht="20.100000000000001" customHeight="1" x14ac:dyDescent="0.15">
      <c r="A24" s="2">
        <v>22</v>
      </c>
      <c r="B24" s="17" t="s">
        <v>39</v>
      </c>
      <c r="C24" s="26" t="s">
        <v>148</v>
      </c>
      <c r="D24" s="5" t="s">
        <v>149</v>
      </c>
      <c r="E24" s="23" t="s">
        <v>150</v>
      </c>
      <c r="F24" s="23" t="s">
        <v>151</v>
      </c>
      <c r="G24" s="6" t="s">
        <v>152</v>
      </c>
      <c r="H24" s="7" t="s">
        <v>77</v>
      </c>
      <c r="I24" s="8" t="s">
        <v>78</v>
      </c>
      <c r="J24" s="60">
        <v>-0.44499999999999995</v>
      </c>
      <c r="K24" s="61">
        <v>-0.8</v>
      </c>
      <c r="L24" s="61">
        <v>5.26</v>
      </c>
      <c r="M24" s="60"/>
      <c r="N24" s="61">
        <v>-1.07</v>
      </c>
      <c r="O24" s="60"/>
      <c r="P24" s="50">
        <f>L24-J24</f>
        <v>5.7050000000000001</v>
      </c>
      <c r="Q24" s="60"/>
      <c r="R24" s="62"/>
      <c r="S24" s="62"/>
      <c r="T24" s="62"/>
      <c r="U24" s="62"/>
      <c r="V24" s="62"/>
      <c r="W24" s="50"/>
      <c r="X24" s="7">
        <v>16</v>
      </c>
      <c r="Y24" s="27">
        <v>7</v>
      </c>
      <c r="Z24" s="5" t="s">
        <v>318</v>
      </c>
      <c r="AA24" s="5"/>
    </row>
    <row r="25" spans="1:27" ht="20.100000000000001" customHeight="1" x14ac:dyDescent="0.15">
      <c r="A25" s="2">
        <v>23</v>
      </c>
      <c r="B25" s="17" t="s">
        <v>5</v>
      </c>
      <c r="C25" s="26" t="s">
        <v>153</v>
      </c>
      <c r="D25" s="5" t="s">
        <v>154</v>
      </c>
      <c r="E25" s="22" t="s">
        <v>155</v>
      </c>
      <c r="F25" s="22" t="s">
        <v>156</v>
      </c>
      <c r="G25" s="6" t="s">
        <v>157</v>
      </c>
      <c r="H25" s="7" t="s">
        <v>71</v>
      </c>
      <c r="I25" s="7" t="s">
        <v>72</v>
      </c>
      <c r="J25" s="60">
        <v>1.31</v>
      </c>
      <c r="K25" s="58">
        <v>1.23</v>
      </c>
      <c r="L25" s="58">
        <v>3.91</v>
      </c>
      <c r="M25" s="60"/>
      <c r="N25" s="58">
        <v>1.3</v>
      </c>
      <c r="O25" s="60"/>
      <c r="P25" s="50">
        <f>L25-J25</f>
        <v>2.6</v>
      </c>
      <c r="Q25" s="60"/>
      <c r="R25" s="62"/>
      <c r="S25" s="62"/>
      <c r="T25" s="62"/>
      <c r="U25" s="62"/>
      <c r="V25" s="62"/>
      <c r="W25" s="50"/>
      <c r="X25" s="7">
        <v>9</v>
      </c>
      <c r="Y25" s="8">
        <v>1</v>
      </c>
      <c r="Z25" s="5" t="s">
        <v>319</v>
      </c>
      <c r="AA25" s="5"/>
    </row>
    <row r="26" spans="1:27" ht="20.100000000000001" customHeight="1" x14ac:dyDescent="0.15">
      <c r="A26" s="2">
        <v>24</v>
      </c>
      <c r="B26" s="17" t="s">
        <v>6</v>
      </c>
      <c r="C26" s="26" t="s">
        <v>6</v>
      </c>
      <c r="D26" s="5" t="s">
        <v>158</v>
      </c>
      <c r="E26" s="23" t="s">
        <v>159</v>
      </c>
      <c r="F26" s="23" t="s">
        <v>160</v>
      </c>
      <c r="G26" s="6" t="s">
        <v>161</v>
      </c>
      <c r="H26" s="7" t="s">
        <v>77</v>
      </c>
      <c r="I26" s="8" t="s">
        <v>78</v>
      </c>
      <c r="J26" s="60"/>
      <c r="K26" s="58">
        <v>0.8</v>
      </c>
      <c r="L26" s="58">
        <v>4.4000000000000004</v>
      </c>
      <c r="M26" s="60"/>
      <c r="N26" s="58"/>
      <c r="O26" s="60"/>
      <c r="P26" s="55">
        <v>3.6</v>
      </c>
      <c r="Q26" s="60"/>
      <c r="R26" s="62"/>
      <c r="S26" s="62"/>
      <c r="T26" s="62"/>
      <c r="U26" s="62"/>
      <c r="V26" s="62"/>
      <c r="W26" s="50"/>
      <c r="X26" s="7">
        <v>14</v>
      </c>
      <c r="Y26" s="8">
        <v>5</v>
      </c>
      <c r="Z26" s="5" t="s">
        <v>320</v>
      </c>
      <c r="AA26" s="5"/>
    </row>
    <row r="27" spans="1:27" ht="20.100000000000001" customHeight="1" x14ac:dyDescent="0.15">
      <c r="A27" s="2">
        <v>25</v>
      </c>
      <c r="B27" s="17" t="s">
        <v>7</v>
      </c>
      <c r="C27" s="26" t="s">
        <v>162</v>
      </c>
      <c r="D27" s="5" t="s">
        <v>158</v>
      </c>
      <c r="E27" s="23" t="s">
        <v>163</v>
      </c>
      <c r="F27" s="23" t="s">
        <v>164</v>
      </c>
      <c r="G27" s="6" t="s">
        <v>165</v>
      </c>
      <c r="H27" s="7" t="s">
        <v>114</v>
      </c>
      <c r="I27" s="8" t="s">
        <v>78</v>
      </c>
      <c r="J27" s="60"/>
      <c r="K27" s="58">
        <v>0.8</v>
      </c>
      <c r="L27" s="58">
        <v>6</v>
      </c>
      <c r="M27" s="60"/>
      <c r="N27" s="58">
        <v>1.7</v>
      </c>
      <c r="O27" s="60"/>
      <c r="P27" s="55">
        <v>5.2</v>
      </c>
      <c r="Q27" s="60"/>
      <c r="R27" s="62"/>
      <c r="S27" s="62"/>
      <c r="T27" s="62"/>
      <c r="U27" s="62"/>
      <c r="V27" s="62"/>
      <c r="W27" s="50"/>
      <c r="X27" s="7">
        <v>19</v>
      </c>
      <c r="Y27" s="8">
        <v>10</v>
      </c>
      <c r="Z27" s="5" t="s">
        <v>321</v>
      </c>
      <c r="AA27" s="5"/>
    </row>
    <row r="28" spans="1:27" ht="20.100000000000001" customHeight="1" x14ac:dyDescent="0.15">
      <c r="A28" s="2">
        <v>26</v>
      </c>
      <c r="B28" s="17" t="s">
        <v>8</v>
      </c>
      <c r="C28" s="26" t="s">
        <v>166</v>
      </c>
      <c r="D28" s="5" t="s">
        <v>158</v>
      </c>
      <c r="E28" s="23" t="s">
        <v>167</v>
      </c>
      <c r="F28" s="23" t="s">
        <v>168</v>
      </c>
      <c r="G28" s="6" t="s">
        <v>351</v>
      </c>
      <c r="H28" s="7" t="s">
        <v>114</v>
      </c>
      <c r="I28" s="8" t="s">
        <v>78</v>
      </c>
      <c r="J28" s="60"/>
      <c r="K28" s="58">
        <v>0.7</v>
      </c>
      <c r="L28" s="58">
        <v>5.9</v>
      </c>
      <c r="M28" s="60"/>
      <c r="N28" s="58"/>
      <c r="O28" s="60"/>
      <c r="P28" s="55">
        <v>5.2</v>
      </c>
      <c r="Q28" s="60"/>
      <c r="R28" s="62"/>
      <c r="S28" s="62"/>
      <c r="T28" s="62"/>
      <c r="U28" s="62"/>
      <c r="V28" s="62"/>
      <c r="W28" s="50"/>
      <c r="X28" s="7">
        <v>17</v>
      </c>
      <c r="Y28" s="8">
        <v>8</v>
      </c>
      <c r="Z28" s="5" t="s">
        <v>320</v>
      </c>
      <c r="AA28" s="5"/>
    </row>
    <row r="29" spans="1:27" ht="20.100000000000001" customHeight="1" x14ac:dyDescent="0.15">
      <c r="A29" s="2">
        <v>27</v>
      </c>
      <c r="B29" s="17" t="s">
        <v>169</v>
      </c>
      <c r="C29" s="26" t="s">
        <v>170</v>
      </c>
      <c r="D29" s="5" t="s">
        <v>158</v>
      </c>
      <c r="E29" s="26" t="s">
        <v>171</v>
      </c>
      <c r="F29" s="23" t="s">
        <v>172</v>
      </c>
      <c r="G29" s="6" t="s">
        <v>351</v>
      </c>
      <c r="H29" s="7" t="s">
        <v>114</v>
      </c>
      <c r="I29" s="8" t="s">
        <v>78</v>
      </c>
      <c r="J29" s="62"/>
      <c r="K29" s="58">
        <v>-0.5</v>
      </c>
      <c r="L29" s="58">
        <v>3.6</v>
      </c>
      <c r="M29" s="60"/>
      <c r="N29" s="58"/>
      <c r="O29" s="60"/>
      <c r="P29" s="55">
        <v>4.0999999999999996</v>
      </c>
      <c r="Q29" s="60"/>
      <c r="R29" s="62"/>
      <c r="S29" s="62"/>
      <c r="T29" s="62"/>
      <c r="U29" s="62"/>
      <c r="V29" s="62"/>
      <c r="W29" s="50"/>
      <c r="X29" s="7">
        <v>21</v>
      </c>
      <c r="Y29" s="8">
        <v>12</v>
      </c>
      <c r="Z29" s="5" t="s">
        <v>320</v>
      </c>
      <c r="AA29" s="5"/>
    </row>
    <row r="30" spans="1:27" ht="20.100000000000001" customHeight="1" x14ac:dyDescent="0.15">
      <c r="A30" s="2">
        <v>28</v>
      </c>
      <c r="B30" s="5" t="s">
        <v>40</v>
      </c>
      <c r="C30" s="17" t="s">
        <v>173</v>
      </c>
      <c r="D30" s="5" t="s">
        <v>154</v>
      </c>
      <c r="E30" s="26" t="s">
        <v>174</v>
      </c>
      <c r="F30" s="26" t="s">
        <v>175</v>
      </c>
      <c r="G30" s="6" t="s">
        <v>176</v>
      </c>
      <c r="H30" s="7" t="s">
        <v>71</v>
      </c>
      <c r="I30" s="7" t="s">
        <v>72</v>
      </c>
      <c r="J30" s="62"/>
      <c r="K30" s="58">
        <v>1.2536855446601201</v>
      </c>
      <c r="L30" s="58">
        <v>4.0896760278389204</v>
      </c>
      <c r="M30" s="60"/>
      <c r="N30" s="58">
        <v>2.5675405243145799</v>
      </c>
      <c r="O30" s="60"/>
      <c r="P30" s="55">
        <v>2.8359904831787999</v>
      </c>
      <c r="Q30" s="60"/>
      <c r="R30" s="62"/>
      <c r="S30" s="62"/>
      <c r="T30" s="62"/>
      <c r="U30" s="62"/>
      <c r="V30" s="62"/>
      <c r="W30" s="50"/>
      <c r="X30" s="7">
        <v>10</v>
      </c>
      <c r="Y30" s="8">
        <v>2</v>
      </c>
      <c r="Z30" s="5" t="s">
        <v>322</v>
      </c>
      <c r="AA30" s="5"/>
    </row>
    <row r="31" spans="1:27" ht="20.100000000000001" customHeight="1" x14ac:dyDescent="0.15">
      <c r="A31" s="2">
        <v>29</v>
      </c>
      <c r="B31" s="17" t="s">
        <v>177</v>
      </c>
      <c r="C31" s="26" t="s">
        <v>177</v>
      </c>
      <c r="D31" s="5" t="s">
        <v>154</v>
      </c>
      <c r="E31" s="23" t="s">
        <v>178</v>
      </c>
      <c r="F31" s="23" t="s">
        <v>179</v>
      </c>
      <c r="G31" s="6" t="s">
        <v>157</v>
      </c>
      <c r="H31" s="7" t="s">
        <v>71</v>
      </c>
      <c r="I31" s="7" t="s">
        <v>72</v>
      </c>
      <c r="J31" s="60"/>
      <c r="K31" s="58">
        <v>1.5</v>
      </c>
      <c r="L31" s="58">
        <v>6</v>
      </c>
      <c r="M31" s="60">
        <v>4.3</v>
      </c>
      <c r="N31" s="58">
        <v>1.7</v>
      </c>
      <c r="O31" s="60"/>
      <c r="P31" s="55">
        <v>4.5</v>
      </c>
      <c r="Q31" s="60"/>
      <c r="R31" s="62"/>
      <c r="S31" s="62"/>
      <c r="T31" s="62"/>
      <c r="U31" s="62"/>
      <c r="V31" s="62"/>
      <c r="W31" s="50"/>
      <c r="X31" s="7">
        <v>11</v>
      </c>
      <c r="Y31" s="8">
        <v>3</v>
      </c>
      <c r="Z31" s="5" t="s">
        <v>320</v>
      </c>
      <c r="AA31" s="5"/>
    </row>
    <row r="32" spans="1:27" ht="20.100000000000001" customHeight="1" x14ac:dyDescent="0.15">
      <c r="A32" s="2">
        <v>30</v>
      </c>
      <c r="B32" s="17" t="s">
        <v>41</v>
      </c>
      <c r="C32" s="26" t="s">
        <v>180</v>
      </c>
      <c r="D32" s="5" t="s">
        <v>154</v>
      </c>
      <c r="E32" s="26" t="s">
        <v>181</v>
      </c>
      <c r="F32" s="23" t="s">
        <v>182</v>
      </c>
      <c r="G32" s="6" t="s">
        <v>183</v>
      </c>
      <c r="H32" s="7" t="s">
        <v>77</v>
      </c>
      <c r="I32" s="8" t="s">
        <v>78</v>
      </c>
      <c r="J32" s="62"/>
      <c r="K32" s="58">
        <v>0.9</v>
      </c>
      <c r="L32" s="58">
        <v>6.7</v>
      </c>
      <c r="M32" s="60">
        <v>5.75</v>
      </c>
      <c r="N32" s="58">
        <v>0.7</v>
      </c>
      <c r="O32" s="60"/>
      <c r="P32" s="55">
        <v>5.8</v>
      </c>
      <c r="Q32" s="60"/>
      <c r="R32" s="62"/>
      <c r="S32" s="62"/>
      <c r="T32" s="62"/>
      <c r="U32" s="62"/>
      <c r="V32" s="62"/>
      <c r="W32" s="50"/>
      <c r="X32" s="7">
        <v>15</v>
      </c>
      <c r="Y32" s="8">
        <v>6</v>
      </c>
      <c r="Z32" s="5" t="s">
        <v>347</v>
      </c>
      <c r="AA32" s="5"/>
    </row>
    <row r="33" spans="1:27" ht="20.100000000000001" customHeight="1" thickBot="1" x14ac:dyDescent="0.2">
      <c r="A33" s="2">
        <v>31</v>
      </c>
      <c r="B33" s="17" t="s">
        <v>184</v>
      </c>
      <c r="C33" s="26" t="s">
        <v>180</v>
      </c>
      <c r="D33" s="5" t="s">
        <v>154</v>
      </c>
      <c r="E33" s="26" t="s">
        <v>181</v>
      </c>
      <c r="F33" s="23" t="s">
        <v>182</v>
      </c>
      <c r="G33" s="6" t="s">
        <v>183</v>
      </c>
      <c r="H33" s="7" t="s">
        <v>77</v>
      </c>
      <c r="I33" s="8" t="s">
        <v>78</v>
      </c>
      <c r="J33" s="62">
        <v>0.78</v>
      </c>
      <c r="K33" s="58">
        <v>0.79</v>
      </c>
      <c r="L33" s="58">
        <v>6.78</v>
      </c>
      <c r="M33" s="60">
        <v>6</v>
      </c>
      <c r="N33" s="58">
        <v>0.78</v>
      </c>
      <c r="O33" s="60">
        <v>0.89</v>
      </c>
      <c r="P33" s="50">
        <f>L33-J33</f>
        <v>6</v>
      </c>
      <c r="Q33" s="60">
        <v>-29.369999999999997</v>
      </c>
      <c r="R33" s="62">
        <v>-29.69</v>
      </c>
      <c r="S33" s="62">
        <v>-25.48</v>
      </c>
      <c r="T33" s="62">
        <v>-26.28</v>
      </c>
      <c r="U33" s="62">
        <v>-29.09</v>
      </c>
      <c r="V33" s="62">
        <v>-28.52</v>
      </c>
      <c r="W33" s="50">
        <f>S33-Q33</f>
        <v>3.889999999999997</v>
      </c>
      <c r="X33" s="7">
        <v>15</v>
      </c>
      <c r="Y33" s="8">
        <v>6</v>
      </c>
      <c r="Z33" s="5" t="s">
        <v>323</v>
      </c>
      <c r="AA33" s="5"/>
    </row>
    <row r="34" spans="1:27" ht="20.100000000000001" customHeight="1" thickBot="1" x14ac:dyDescent="0.2">
      <c r="A34" s="2">
        <v>32</v>
      </c>
      <c r="B34" s="17" t="s">
        <v>185</v>
      </c>
      <c r="C34" s="26" t="s">
        <v>186</v>
      </c>
      <c r="D34" s="5" t="s">
        <v>187</v>
      </c>
      <c r="E34" s="28" t="s">
        <v>188</v>
      </c>
      <c r="F34" s="29" t="s">
        <v>189</v>
      </c>
      <c r="G34" s="6" t="s">
        <v>351</v>
      </c>
      <c r="H34" s="7" t="s">
        <v>114</v>
      </c>
      <c r="I34" s="8" t="s">
        <v>78</v>
      </c>
      <c r="J34" s="63">
        <v>-0.43</v>
      </c>
      <c r="K34" s="58">
        <v>-0.56999999999999995</v>
      </c>
      <c r="L34" s="58">
        <v>4.88</v>
      </c>
      <c r="M34" s="60"/>
      <c r="N34" s="58">
        <v>-0.36</v>
      </c>
      <c r="O34" s="60"/>
      <c r="P34" s="50">
        <f t="shared" ref="P34:P38" si="1">L34-J34</f>
        <v>5.31</v>
      </c>
      <c r="Q34" s="60"/>
      <c r="R34" s="62"/>
      <c r="S34" s="62"/>
      <c r="T34" s="62"/>
      <c r="U34" s="62"/>
      <c r="V34" s="62"/>
      <c r="W34" s="50"/>
      <c r="X34" s="7">
        <v>18</v>
      </c>
      <c r="Y34" s="8">
        <v>9</v>
      </c>
      <c r="Z34" s="5" t="s">
        <v>324</v>
      </c>
      <c r="AA34" s="5"/>
    </row>
    <row r="35" spans="1:27" ht="20.100000000000001" customHeight="1" thickBot="1" x14ac:dyDescent="0.2">
      <c r="A35" s="2">
        <v>33</v>
      </c>
      <c r="B35" s="17" t="s">
        <v>9</v>
      </c>
      <c r="C35" s="26" t="s">
        <v>9</v>
      </c>
      <c r="D35" s="5" t="s">
        <v>187</v>
      </c>
      <c r="E35" s="28" t="s">
        <v>190</v>
      </c>
      <c r="F35" s="29" t="s">
        <v>191</v>
      </c>
      <c r="G35" s="6" t="s">
        <v>351</v>
      </c>
      <c r="H35" s="7" t="s">
        <v>114</v>
      </c>
      <c r="I35" s="8" t="s">
        <v>78</v>
      </c>
      <c r="J35" s="63">
        <v>-0.17</v>
      </c>
      <c r="K35" s="58">
        <v>-1.04</v>
      </c>
      <c r="L35" s="58">
        <v>5.59</v>
      </c>
      <c r="M35" s="60"/>
      <c r="N35" s="58"/>
      <c r="O35" s="60"/>
      <c r="P35" s="50">
        <f t="shared" si="1"/>
        <v>5.76</v>
      </c>
      <c r="Q35" s="60"/>
      <c r="R35" s="62"/>
      <c r="S35" s="62"/>
      <c r="T35" s="62"/>
      <c r="U35" s="62"/>
      <c r="V35" s="62"/>
      <c r="W35" s="50"/>
      <c r="X35" s="7">
        <v>20</v>
      </c>
      <c r="Y35" s="8">
        <v>11</v>
      </c>
      <c r="Z35" s="5" t="s">
        <v>324</v>
      </c>
      <c r="AA35" s="5"/>
    </row>
    <row r="36" spans="1:27" ht="20.100000000000001" customHeight="1" x14ac:dyDescent="0.15">
      <c r="A36" s="2">
        <v>34</v>
      </c>
      <c r="B36" s="17" t="s">
        <v>10</v>
      </c>
      <c r="C36" s="26" t="s">
        <v>192</v>
      </c>
      <c r="D36" s="5" t="s">
        <v>187</v>
      </c>
      <c r="E36" s="23" t="s">
        <v>193</v>
      </c>
      <c r="F36" s="23" t="s">
        <v>194</v>
      </c>
      <c r="G36" s="6" t="s">
        <v>195</v>
      </c>
      <c r="H36" s="7" t="s">
        <v>77</v>
      </c>
      <c r="I36" s="8" t="s">
        <v>78</v>
      </c>
      <c r="J36" s="60">
        <v>1.18</v>
      </c>
      <c r="K36" s="58">
        <v>0.7</v>
      </c>
      <c r="L36" s="58">
        <v>4.0999999999999996</v>
      </c>
      <c r="M36" s="60">
        <v>2.57</v>
      </c>
      <c r="N36" s="58">
        <v>0.56999999999999995</v>
      </c>
      <c r="O36" s="60"/>
      <c r="P36" s="50">
        <f t="shared" si="1"/>
        <v>2.92</v>
      </c>
      <c r="Q36" s="60"/>
      <c r="R36" s="62"/>
      <c r="S36" s="62"/>
      <c r="T36" s="62"/>
      <c r="U36" s="62"/>
      <c r="V36" s="62"/>
      <c r="W36" s="50"/>
      <c r="X36" s="8">
        <v>13</v>
      </c>
      <c r="Y36" s="16">
        <v>4</v>
      </c>
      <c r="Z36" s="5" t="s">
        <v>324</v>
      </c>
      <c r="AA36" s="5"/>
    </row>
    <row r="37" spans="1:27" ht="20.100000000000001" customHeight="1" x14ac:dyDescent="0.15">
      <c r="A37" s="2">
        <v>35</v>
      </c>
      <c r="B37" s="17" t="s">
        <v>11</v>
      </c>
      <c r="C37" s="26" t="s">
        <v>196</v>
      </c>
      <c r="D37" s="5" t="s">
        <v>197</v>
      </c>
      <c r="E37" s="23" t="s">
        <v>198</v>
      </c>
      <c r="F37" s="23" t="s">
        <v>199</v>
      </c>
      <c r="G37" s="30" t="s">
        <v>200</v>
      </c>
      <c r="H37" s="7" t="s">
        <v>71</v>
      </c>
      <c r="I37" s="7" t="s">
        <v>72</v>
      </c>
      <c r="J37" s="60">
        <v>2.65</v>
      </c>
      <c r="K37" s="58">
        <v>2.33</v>
      </c>
      <c r="L37" s="58">
        <v>5.87</v>
      </c>
      <c r="M37" s="60">
        <v>5.3049999999999997</v>
      </c>
      <c r="N37" s="58">
        <v>0.35</v>
      </c>
      <c r="O37" s="60"/>
      <c r="P37" s="50">
        <f t="shared" si="1"/>
        <v>3.22</v>
      </c>
      <c r="Q37" s="60"/>
      <c r="R37" s="62"/>
      <c r="S37" s="62"/>
      <c r="T37" s="62"/>
      <c r="U37" s="62"/>
      <c r="V37" s="62"/>
      <c r="W37" s="50"/>
      <c r="X37" s="7">
        <v>6</v>
      </c>
      <c r="Y37" s="7">
        <v>3</v>
      </c>
      <c r="Z37" s="5" t="s">
        <v>325</v>
      </c>
      <c r="AA37" s="5"/>
    </row>
    <row r="38" spans="1:27" ht="20.100000000000001" customHeight="1" x14ac:dyDescent="0.15">
      <c r="A38" s="2">
        <v>36</v>
      </c>
      <c r="B38" s="17" t="s">
        <v>12</v>
      </c>
      <c r="C38" s="26" t="s">
        <v>196</v>
      </c>
      <c r="D38" s="5" t="s">
        <v>197</v>
      </c>
      <c r="E38" s="23" t="s">
        <v>201</v>
      </c>
      <c r="F38" s="23" t="s">
        <v>202</v>
      </c>
      <c r="G38" s="30" t="s">
        <v>200</v>
      </c>
      <c r="H38" s="7" t="s">
        <v>71</v>
      </c>
      <c r="I38" s="7" t="s">
        <v>72</v>
      </c>
      <c r="J38" s="60">
        <v>2.5049999999999999</v>
      </c>
      <c r="K38" s="58">
        <v>2.2400000000000002</v>
      </c>
      <c r="L38" s="58">
        <v>5.79</v>
      </c>
      <c r="M38" s="60">
        <v>4.0599999999999996</v>
      </c>
      <c r="N38" s="58"/>
      <c r="O38" s="60"/>
      <c r="P38" s="50">
        <f t="shared" si="1"/>
        <v>3.2850000000000001</v>
      </c>
      <c r="Q38" s="60"/>
      <c r="R38" s="62"/>
      <c r="S38" s="62"/>
      <c r="T38" s="62"/>
      <c r="U38" s="62"/>
      <c r="V38" s="62"/>
      <c r="W38" s="50"/>
      <c r="X38" s="17">
        <v>4</v>
      </c>
      <c r="Y38" s="7">
        <v>1</v>
      </c>
      <c r="Z38" s="5" t="s">
        <v>325</v>
      </c>
      <c r="AA38" s="5"/>
    </row>
    <row r="39" spans="1:27" ht="20.100000000000001" customHeight="1" x14ac:dyDescent="0.15">
      <c r="A39" s="2">
        <v>37</v>
      </c>
      <c r="B39" s="17" t="s">
        <v>203</v>
      </c>
      <c r="C39" s="26" t="s">
        <v>196</v>
      </c>
      <c r="D39" s="5" t="s">
        <v>197</v>
      </c>
      <c r="E39" s="23" t="s">
        <v>204</v>
      </c>
      <c r="F39" s="23" t="s">
        <v>205</v>
      </c>
      <c r="G39" s="30" t="s">
        <v>200</v>
      </c>
      <c r="H39" s="7" t="s">
        <v>71</v>
      </c>
      <c r="I39" s="7" t="s">
        <v>72</v>
      </c>
      <c r="J39" s="60">
        <v>2.4900000000000002</v>
      </c>
      <c r="K39" s="58">
        <v>1.95</v>
      </c>
      <c r="L39" s="58">
        <v>6.15</v>
      </c>
      <c r="M39" s="60"/>
      <c r="N39" s="58">
        <v>2.81</v>
      </c>
      <c r="O39" s="60"/>
      <c r="P39" s="50">
        <f>L39-J39</f>
        <v>3.66</v>
      </c>
      <c r="Q39" s="60"/>
      <c r="R39" s="62"/>
      <c r="S39" s="62"/>
      <c r="T39" s="62"/>
      <c r="U39" s="62"/>
      <c r="V39" s="62"/>
      <c r="W39" s="50"/>
      <c r="X39" s="17">
        <v>5</v>
      </c>
      <c r="Y39" s="7">
        <v>2</v>
      </c>
      <c r="Z39" s="5" t="s">
        <v>325</v>
      </c>
      <c r="AA39" s="5"/>
    </row>
    <row r="40" spans="1:27" ht="20.100000000000001" customHeight="1" x14ac:dyDescent="0.15">
      <c r="A40" s="2">
        <v>38</v>
      </c>
      <c r="B40" s="17" t="s">
        <v>13</v>
      </c>
      <c r="C40" s="26" t="s">
        <v>196</v>
      </c>
      <c r="D40" s="5" t="s">
        <v>197</v>
      </c>
      <c r="E40" s="23" t="s">
        <v>206</v>
      </c>
      <c r="F40" s="23" t="s">
        <v>207</v>
      </c>
      <c r="G40" s="30" t="s">
        <v>200</v>
      </c>
      <c r="H40" s="7" t="s">
        <v>71</v>
      </c>
      <c r="I40" s="7" t="s">
        <v>72</v>
      </c>
      <c r="J40" s="60"/>
      <c r="K40" s="60"/>
      <c r="L40" s="60"/>
      <c r="M40" s="60">
        <v>5.67</v>
      </c>
      <c r="N40" s="58">
        <v>-1.38</v>
      </c>
      <c r="O40" s="60"/>
      <c r="P40" s="50"/>
      <c r="Q40" s="60"/>
      <c r="R40" s="62"/>
      <c r="S40" s="62"/>
      <c r="T40" s="62"/>
      <c r="U40" s="62"/>
      <c r="V40" s="62"/>
      <c r="W40" s="50"/>
      <c r="X40" s="17">
        <v>8</v>
      </c>
      <c r="Y40" s="7">
        <v>5</v>
      </c>
      <c r="Z40" s="5" t="s">
        <v>325</v>
      </c>
      <c r="AA40" s="5"/>
    </row>
    <row r="41" spans="1:27" ht="20.100000000000001" customHeight="1" x14ac:dyDescent="0.15">
      <c r="A41" s="2">
        <v>39</v>
      </c>
      <c r="B41" s="17" t="s">
        <v>208</v>
      </c>
      <c r="C41" s="26" t="s">
        <v>196</v>
      </c>
      <c r="D41" s="5" t="s">
        <v>197</v>
      </c>
      <c r="E41" s="23" t="s">
        <v>206</v>
      </c>
      <c r="F41" s="23" t="s">
        <v>207</v>
      </c>
      <c r="G41" s="30" t="s">
        <v>200</v>
      </c>
      <c r="H41" s="7" t="s">
        <v>71</v>
      </c>
      <c r="I41" s="7" t="s">
        <v>72</v>
      </c>
      <c r="J41" s="60"/>
      <c r="K41" s="60"/>
      <c r="L41" s="58">
        <v>7.06</v>
      </c>
      <c r="M41" s="60"/>
      <c r="N41" s="58">
        <v>2.84</v>
      </c>
      <c r="O41" s="60">
        <v>3.9850000000000003</v>
      </c>
      <c r="P41" s="50"/>
      <c r="Q41" s="60"/>
      <c r="R41" s="62"/>
      <c r="S41" s="62"/>
      <c r="T41" s="62"/>
      <c r="U41" s="62"/>
      <c r="V41" s="62"/>
      <c r="W41" s="50"/>
      <c r="X41" s="3">
        <v>7</v>
      </c>
      <c r="Y41" s="16">
        <v>4</v>
      </c>
      <c r="Z41" s="5" t="s">
        <v>325</v>
      </c>
      <c r="AA41" s="5"/>
    </row>
    <row r="42" spans="1:27" ht="20.100000000000001" customHeight="1" x14ac:dyDescent="0.15">
      <c r="A42" s="2">
        <v>40</v>
      </c>
      <c r="B42" s="17" t="s">
        <v>209</v>
      </c>
      <c r="C42" s="26" t="s">
        <v>210</v>
      </c>
      <c r="D42" s="5" t="s">
        <v>197</v>
      </c>
      <c r="E42" s="23" t="s">
        <v>211</v>
      </c>
      <c r="F42" s="23" t="s">
        <v>212</v>
      </c>
      <c r="G42" s="30" t="s">
        <v>213</v>
      </c>
      <c r="H42" s="7" t="s">
        <v>141</v>
      </c>
      <c r="I42" s="8" t="s">
        <v>87</v>
      </c>
      <c r="J42" s="60"/>
      <c r="K42" s="60"/>
      <c r="L42" s="60"/>
      <c r="M42" s="60"/>
      <c r="N42" s="60"/>
      <c r="O42" s="60"/>
      <c r="P42" s="50"/>
      <c r="Q42" s="60">
        <v>-29.536760012358201</v>
      </c>
      <c r="R42" s="58">
        <v>-29.802196917326899</v>
      </c>
      <c r="S42" s="58">
        <v>-26.652123917578098</v>
      </c>
      <c r="T42" s="60">
        <v>-27.5650378851747</v>
      </c>
      <c r="U42" s="58">
        <v>-31.2384217449221</v>
      </c>
      <c r="V42" s="60">
        <v>-29.917999999999999</v>
      </c>
      <c r="W42" s="50">
        <f>S42-Q42</f>
        <v>2.8846360947801024</v>
      </c>
      <c r="X42" s="7">
        <v>2</v>
      </c>
      <c r="Y42" s="7"/>
      <c r="Z42" s="5" t="s">
        <v>326</v>
      </c>
      <c r="AA42" s="5"/>
    </row>
    <row r="43" spans="1:27" ht="20.100000000000001" customHeight="1" x14ac:dyDescent="0.15">
      <c r="A43" s="11">
        <v>41</v>
      </c>
      <c r="B43" s="12" t="s">
        <v>214</v>
      </c>
      <c r="C43" s="31" t="s">
        <v>215</v>
      </c>
      <c r="D43" s="14" t="s">
        <v>197</v>
      </c>
      <c r="E43" s="11" t="s">
        <v>216</v>
      </c>
      <c r="F43" s="11" t="s">
        <v>217</v>
      </c>
      <c r="G43" s="32" t="s">
        <v>218</v>
      </c>
      <c r="H43" s="16" t="s">
        <v>77</v>
      </c>
      <c r="I43" s="16" t="s">
        <v>78</v>
      </c>
      <c r="J43" s="59">
        <v>0.94</v>
      </c>
      <c r="K43" s="59">
        <v>0.98</v>
      </c>
      <c r="L43" s="59">
        <v>3.72</v>
      </c>
      <c r="M43" s="59">
        <v>3.58</v>
      </c>
      <c r="N43" s="59">
        <v>-0.05</v>
      </c>
      <c r="O43" s="59">
        <v>0.28999999999999998</v>
      </c>
      <c r="P43" s="51">
        <f>L43-J43</f>
        <v>2.7800000000000002</v>
      </c>
      <c r="Q43" s="59"/>
      <c r="R43" s="68"/>
      <c r="S43" s="68"/>
      <c r="T43" s="68"/>
      <c r="U43" s="68"/>
      <c r="V43" s="68"/>
      <c r="W43" s="51"/>
      <c r="X43" s="16">
        <v>12</v>
      </c>
      <c r="Y43" s="16"/>
      <c r="Z43" s="14" t="s">
        <v>327</v>
      </c>
      <c r="AA43" s="49"/>
    </row>
    <row r="44" spans="1:27" ht="20.100000000000001" customHeight="1" x14ac:dyDescent="0.15">
      <c r="A44" s="2">
        <v>42</v>
      </c>
      <c r="B44" s="17" t="s">
        <v>42</v>
      </c>
      <c r="C44" s="33" t="s">
        <v>219</v>
      </c>
      <c r="D44" s="19" t="s">
        <v>220</v>
      </c>
      <c r="E44" s="5" t="s">
        <v>221</v>
      </c>
      <c r="F44" s="5" t="s">
        <v>222</v>
      </c>
      <c r="G44" s="21" t="s">
        <v>223</v>
      </c>
      <c r="H44" s="7" t="s">
        <v>141</v>
      </c>
      <c r="I44" s="8" t="s">
        <v>87</v>
      </c>
      <c r="J44" s="60"/>
      <c r="K44" s="60"/>
      <c r="L44" s="60"/>
      <c r="M44" s="60"/>
      <c r="N44" s="60"/>
      <c r="O44" s="60"/>
      <c r="P44" s="50"/>
      <c r="Q44" s="60">
        <v>-31.53</v>
      </c>
      <c r="R44" s="66">
        <v>-32.49</v>
      </c>
      <c r="S44" s="66">
        <v>-28.2</v>
      </c>
      <c r="T44" s="62"/>
      <c r="U44" s="66">
        <v>-32.97</v>
      </c>
      <c r="V44" s="62">
        <v>-32.07</v>
      </c>
      <c r="W44" s="50">
        <f t="shared" ref="W44:W49" si="2">S44-Q44</f>
        <v>3.3300000000000018</v>
      </c>
      <c r="X44" s="3">
        <v>2</v>
      </c>
      <c r="Y44" s="7"/>
      <c r="Z44" s="5" t="s">
        <v>328</v>
      </c>
      <c r="AA44" s="5"/>
    </row>
    <row r="45" spans="1:27" ht="20.100000000000001" customHeight="1" x14ac:dyDescent="0.15">
      <c r="A45" s="2">
        <v>43</v>
      </c>
      <c r="B45" s="17" t="s">
        <v>224</v>
      </c>
      <c r="C45" s="33" t="s">
        <v>219</v>
      </c>
      <c r="D45" s="19" t="s">
        <v>220</v>
      </c>
      <c r="E45" s="5" t="s">
        <v>221</v>
      </c>
      <c r="F45" s="5" t="s">
        <v>222</v>
      </c>
      <c r="G45" s="21" t="s">
        <v>223</v>
      </c>
      <c r="H45" s="7" t="s">
        <v>141</v>
      </c>
      <c r="I45" s="8" t="s">
        <v>87</v>
      </c>
      <c r="J45" s="60"/>
      <c r="K45" s="60"/>
      <c r="L45" s="60"/>
      <c r="M45" s="60"/>
      <c r="N45" s="60"/>
      <c r="O45" s="60"/>
      <c r="P45" s="50"/>
      <c r="Q45" s="60">
        <v>-31.111940298507399</v>
      </c>
      <c r="R45" s="66">
        <v>-33.388059701492502</v>
      </c>
      <c r="S45" s="66">
        <v>-29.134328358208901</v>
      </c>
      <c r="T45" s="62">
        <v>-30.533582089552148</v>
      </c>
      <c r="U45" s="66">
        <v>-34.805970149253703</v>
      </c>
      <c r="V45" s="62">
        <v>-33.537313432835802</v>
      </c>
      <c r="W45" s="50">
        <f t="shared" si="2"/>
        <v>1.9776119402984982</v>
      </c>
      <c r="X45" s="3">
        <v>2</v>
      </c>
      <c r="Y45" s="7"/>
      <c r="Z45" s="5" t="s">
        <v>329</v>
      </c>
      <c r="AA45" s="5"/>
    </row>
    <row r="46" spans="1:27" ht="20.100000000000001" customHeight="1" x14ac:dyDescent="0.15">
      <c r="A46" s="2">
        <v>44</v>
      </c>
      <c r="B46" s="17" t="s">
        <v>225</v>
      </c>
      <c r="C46" s="33" t="s">
        <v>219</v>
      </c>
      <c r="D46" s="19" t="s">
        <v>220</v>
      </c>
      <c r="E46" s="5" t="s">
        <v>221</v>
      </c>
      <c r="F46" s="5" t="s">
        <v>222</v>
      </c>
      <c r="G46" s="21" t="s">
        <v>223</v>
      </c>
      <c r="H46" s="7" t="s">
        <v>141</v>
      </c>
      <c r="I46" s="8" t="s">
        <v>87</v>
      </c>
      <c r="J46" s="60"/>
      <c r="K46" s="60"/>
      <c r="L46" s="60"/>
      <c r="M46" s="60"/>
      <c r="N46" s="60"/>
      <c r="O46" s="60"/>
      <c r="P46" s="50"/>
      <c r="Q46" s="60">
        <v>-31.145138384535173</v>
      </c>
      <c r="R46" s="66">
        <v>-33.131469427147287</v>
      </c>
      <c r="S46" s="66">
        <v>-29.112099921353554</v>
      </c>
      <c r="T46" s="62">
        <v>-30.141442676126616</v>
      </c>
      <c r="U46" s="66">
        <v>-33.093412826679881</v>
      </c>
      <c r="V46" s="62">
        <v>-32.79717350388006</v>
      </c>
      <c r="W46" s="50">
        <f t="shared" si="2"/>
        <v>2.0330384631816187</v>
      </c>
      <c r="X46" s="7">
        <v>2</v>
      </c>
      <c r="Y46" s="16"/>
      <c r="Z46" s="5" t="s">
        <v>330</v>
      </c>
      <c r="AA46" s="5"/>
    </row>
    <row r="47" spans="1:27" ht="20.100000000000001" customHeight="1" x14ac:dyDescent="0.15">
      <c r="A47" s="2">
        <v>45</v>
      </c>
      <c r="B47" s="17" t="s">
        <v>43</v>
      </c>
      <c r="C47" s="4" t="s">
        <v>226</v>
      </c>
      <c r="D47" s="5" t="s">
        <v>227</v>
      </c>
      <c r="E47" s="5" t="s">
        <v>108</v>
      </c>
      <c r="F47" s="5" t="s">
        <v>108</v>
      </c>
      <c r="G47" s="6" t="s">
        <v>352</v>
      </c>
      <c r="H47" s="7" t="s">
        <v>141</v>
      </c>
      <c r="I47" s="8" t="s">
        <v>87</v>
      </c>
      <c r="J47" s="60"/>
      <c r="K47" s="60"/>
      <c r="L47" s="60"/>
      <c r="M47" s="60"/>
      <c r="N47" s="60"/>
      <c r="O47" s="60"/>
      <c r="P47" s="50"/>
      <c r="Q47" s="60">
        <v>-31.1</v>
      </c>
      <c r="R47" s="58">
        <v>-31.4</v>
      </c>
      <c r="S47" s="58">
        <v>-28.8</v>
      </c>
      <c r="T47" s="62">
        <v>-29.5</v>
      </c>
      <c r="U47" s="62"/>
      <c r="V47" s="62"/>
      <c r="W47" s="50">
        <f t="shared" si="2"/>
        <v>2.3000000000000007</v>
      </c>
      <c r="X47" s="7">
        <v>1</v>
      </c>
      <c r="Y47" s="7">
        <v>1</v>
      </c>
      <c r="Z47" s="5" t="s">
        <v>313</v>
      </c>
      <c r="AA47" s="5"/>
    </row>
    <row r="48" spans="1:27" ht="20.100000000000001" customHeight="1" x14ac:dyDescent="0.15">
      <c r="A48" s="2">
        <v>46</v>
      </c>
      <c r="B48" s="17" t="s">
        <v>44</v>
      </c>
      <c r="C48" s="4" t="s">
        <v>226</v>
      </c>
      <c r="D48" s="5" t="s">
        <v>227</v>
      </c>
      <c r="E48" s="5" t="s">
        <v>108</v>
      </c>
      <c r="F48" s="5" t="s">
        <v>108</v>
      </c>
      <c r="G48" s="6" t="s">
        <v>352</v>
      </c>
      <c r="H48" s="7" t="s">
        <v>141</v>
      </c>
      <c r="I48" s="8" t="s">
        <v>87</v>
      </c>
      <c r="J48" s="57">
        <v>-1.36</v>
      </c>
      <c r="K48" s="57">
        <v>-4.97</v>
      </c>
      <c r="L48" s="64">
        <v>3.98</v>
      </c>
      <c r="M48" s="64"/>
      <c r="N48" s="64">
        <v>-3.26</v>
      </c>
      <c r="O48" s="64"/>
      <c r="P48" s="52">
        <f>L48-J48</f>
        <v>5.34</v>
      </c>
      <c r="Q48" s="60">
        <v>-31.0024674391729</v>
      </c>
      <c r="R48" s="58">
        <v>-31.671080988224901</v>
      </c>
      <c r="S48" s="58">
        <v>-28.898116625542599</v>
      </c>
      <c r="T48" s="62">
        <v>-29.408923384451953</v>
      </c>
      <c r="U48" s="62"/>
      <c r="V48" s="62"/>
      <c r="W48" s="50">
        <f t="shared" si="2"/>
        <v>2.1043508136303011</v>
      </c>
      <c r="X48" s="7">
        <v>1</v>
      </c>
      <c r="Y48" s="7">
        <v>1</v>
      </c>
      <c r="Z48" s="5" t="s">
        <v>331</v>
      </c>
      <c r="AA48" s="5"/>
    </row>
    <row r="49" spans="1:27" ht="20.100000000000001" customHeight="1" x14ac:dyDescent="0.15">
      <c r="A49" s="2">
        <v>47</v>
      </c>
      <c r="B49" s="17" t="s">
        <v>228</v>
      </c>
      <c r="C49" s="4" t="s">
        <v>226</v>
      </c>
      <c r="D49" s="5" t="s">
        <v>227</v>
      </c>
      <c r="E49" s="5" t="s">
        <v>108</v>
      </c>
      <c r="F49" s="5" t="s">
        <v>108</v>
      </c>
      <c r="G49" s="6" t="s">
        <v>352</v>
      </c>
      <c r="H49" s="7" t="s">
        <v>141</v>
      </c>
      <c r="I49" s="8" t="s">
        <v>87</v>
      </c>
      <c r="J49" s="60"/>
      <c r="K49" s="60"/>
      <c r="L49" s="60"/>
      <c r="M49" s="60"/>
      <c r="N49" s="60"/>
      <c r="O49" s="60"/>
      <c r="P49" s="50"/>
      <c r="Q49" s="60">
        <v>-31.125</v>
      </c>
      <c r="R49" s="58">
        <v>-31.76</v>
      </c>
      <c r="S49" s="58">
        <v>-27.24</v>
      </c>
      <c r="T49" s="62"/>
      <c r="U49" s="62"/>
      <c r="V49" s="62"/>
      <c r="W49" s="50">
        <f t="shared" si="2"/>
        <v>3.8850000000000016</v>
      </c>
      <c r="X49" s="7">
        <v>1</v>
      </c>
      <c r="Y49" s="7">
        <v>1</v>
      </c>
      <c r="Z49" s="5" t="s">
        <v>332</v>
      </c>
      <c r="AA49" s="5"/>
    </row>
    <row r="50" spans="1:27" ht="20.100000000000001" customHeight="1" x14ac:dyDescent="0.15">
      <c r="A50" s="2">
        <v>48</v>
      </c>
      <c r="B50" s="17" t="s">
        <v>45</v>
      </c>
      <c r="C50" s="4" t="s">
        <v>229</v>
      </c>
      <c r="D50" s="5" t="s">
        <v>227</v>
      </c>
      <c r="E50" s="5" t="s">
        <v>230</v>
      </c>
      <c r="F50" s="34" t="s">
        <v>231</v>
      </c>
      <c r="G50" s="6" t="s">
        <v>232</v>
      </c>
      <c r="H50" s="7" t="s">
        <v>86</v>
      </c>
      <c r="I50" s="8" t="s">
        <v>87</v>
      </c>
      <c r="J50" s="60">
        <v>0.88730230667702004</v>
      </c>
      <c r="K50" s="58">
        <v>0.71</v>
      </c>
      <c r="L50" s="58">
        <v>7.31</v>
      </c>
      <c r="M50" s="65">
        <v>6.41</v>
      </c>
      <c r="N50" s="58">
        <v>0.9</v>
      </c>
      <c r="O50" s="65">
        <v>0.23499999999999999</v>
      </c>
      <c r="P50" s="50">
        <f t="shared" ref="P50:P63" si="3">L50-J50</f>
        <v>6.4226976933229798</v>
      </c>
      <c r="Q50" s="65"/>
      <c r="R50" s="62"/>
      <c r="S50" s="62"/>
      <c r="T50" s="62"/>
      <c r="U50" s="62"/>
      <c r="V50" s="62"/>
      <c r="W50" s="50"/>
      <c r="X50" s="7">
        <v>5</v>
      </c>
      <c r="Y50" s="7">
        <v>3</v>
      </c>
      <c r="Z50" s="5" t="s">
        <v>333</v>
      </c>
      <c r="AA50" s="5"/>
    </row>
    <row r="51" spans="1:27" ht="20.100000000000001" customHeight="1" x14ac:dyDescent="0.15">
      <c r="A51" s="2">
        <v>49</v>
      </c>
      <c r="B51" s="17" t="s">
        <v>233</v>
      </c>
      <c r="C51" s="4" t="s">
        <v>229</v>
      </c>
      <c r="D51" s="5" t="s">
        <v>227</v>
      </c>
      <c r="E51" s="5" t="s">
        <v>230</v>
      </c>
      <c r="F51" s="34" t="s">
        <v>231</v>
      </c>
      <c r="G51" s="6" t="s">
        <v>232</v>
      </c>
      <c r="H51" s="7" t="s">
        <v>86</v>
      </c>
      <c r="I51" s="8" t="s">
        <v>87</v>
      </c>
      <c r="J51" s="60">
        <v>1.61434977578475</v>
      </c>
      <c r="K51" s="58">
        <v>0</v>
      </c>
      <c r="L51" s="58">
        <v>7.1928251121076201</v>
      </c>
      <c r="M51" s="65">
        <v>6.4394618834080699</v>
      </c>
      <c r="N51" s="58">
        <v>-0.44843049327354401</v>
      </c>
      <c r="O51" s="65">
        <v>-5.3811659192824303E-2</v>
      </c>
      <c r="P51" s="50">
        <f t="shared" si="3"/>
        <v>5.5784753363228701</v>
      </c>
      <c r="Q51" s="65">
        <v>-28.990990990990952</v>
      </c>
      <c r="R51" s="62">
        <v>-30.378378378378301</v>
      </c>
      <c r="S51" s="62">
        <v>-25.585585585585498</v>
      </c>
      <c r="T51" s="62">
        <v>-28.972972972972901</v>
      </c>
      <c r="U51" s="62">
        <v>-30.756756756756701</v>
      </c>
      <c r="V51" s="62">
        <v>-29.486486486486449</v>
      </c>
      <c r="W51" s="50">
        <f>S51-Q51</f>
        <v>3.4054054054054532</v>
      </c>
      <c r="X51" s="7">
        <v>5</v>
      </c>
      <c r="Y51" s="7">
        <v>3</v>
      </c>
      <c r="Z51" s="5" t="s">
        <v>335</v>
      </c>
      <c r="AA51" s="5"/>
    </row>
    <row r="52" spans="1:27" ht="20.100000000000001" customHeight="1" x14ac:dyDescent="0.15">
      <c r="A52" s="2">
        <v>50</v>
      </c>
      <c r="B52" s="17" t="s">
        <v>14</v>
      </c>
      <c r="C52" s="4" t="s">
        <v>234</v>
      </c>
      <c r="D52" s="5" t="s">
        <v>227</v>
      </c>
      <c r="E52" s="5"/>
      <c r="F52" s="5"/>
      <c r="G52" s="6" t="s">
        <v>235</v>
      </c>
      <c r="H52" s="7" t="s">
        <v>86</v>
      </c>
      <c r="I52" s="8" t="s">
        <v>87</v>
      </c>
      <c r="J52" s="60">
        <v>1.7050000000000001</v>
      </c>
      <c r="K52" s="58">
        <v>0.96</v>
      </c>
      <c r="L52" s="58">
        <v>7.02</v>
      </c>
      <c r="M52" s="60">
        <v>6.585</v>
      </c>
      <c r="N52" s="58">
        <v>0.21</v>
      </c>
      <c r="O52" s="60">
        <v>-0.13</v>
      </c>
      <c r="P52" s="50">
        <f t="shared" si="3"/>
        <v>5.3149999999999995</v>
      </c>
      <c r="Q52" s="60"/>
      <c r="R52" s="62"/>
      <c r="S52" s="62"/>
      <c r="T52" s="62"/>
      <c r="U52" s="62"/>
      <c r="V52" s="62"/>
      <c r="W52" s="50"/>
      <c r="X52" s="7">
        <v>3</v>
      </c>
      <c r="Y52" s="7">
        <v>2</v>
      </c>
      <c r="Z52" s="5" t="s">
        <v>354</v>
      </c>
      <c r="AA52" s="5"/>
    </row>
    <row r="53" spans="1:27" ht="20.100000000000001" customHeight="1" x14ac:dyDescent="0.15">
      <c r="A53" s="2">
        <v>51</v>
      </c>
      <c r="B53" s="17" t="s">
        <v>16</v>
      </c>
      <c r="C53" s="4" t="s">
        <v>234</v>
      </c>
      <c r="D53" s="5" t="s">
        <v>227</v>
      </c>
      <c r="E53" s="5" t="s">
        <v>236</v>
      </c>
      <c r="F53" s="34" t="s">
        <v>237</v>
      </c>
      <c r="G53" s="6" t="s">
        <v>238</v>
      </c>
      <c r="H53" s="7" t="s">
        <v>71</v>
      </c>
      <c r="I53" s="7" t="s">
        <v>72</v>
      </c>
      <c r="J53" s="60">
        <v>0.20500000000000002</v>
      </c>
      <c r="K53" s="58">
        <v>0.5</v>
      </c>
      <c r="L53" s="58">
        <v>2.59</v>
      </c>
      <c r="M53" s="65"/>
      <c r="N53" s="58">
        <v>0.26</v>
      </c>
      <c r="O53" s="65">
        <v>0.86499999999999999</v>
      </c>
      <c r="P53" s="50">
        <f t="shared" si="3"/>
        <v>2.3849999999999998</v>
      </c>
      <c r="Q53" s="65"/>
      <c r="R53" s="62"/>
      <c r="S53" s="62"/>
      <c r="T53" s="62"/>
      <c r="U53" s="62"/>
      <c r="V53" s="62"/>
      <c r="W53" s="50"/>
      <c r="X53" s="7">
        <v>6</v>
      </c>
      <c r="Y53" s="7">
        <v>4</v>
      </c>
      <c r="Z53" s="5" t="s">
        <v>336</v>
      </c>
      <c r="AA53" s="5"/>
    </row>
    <row r="54" spans="1:27" ht="20.100000000000001" customHeight="1" x14ac:dyDescent="0.15">
      <c r="A54" s="2">
        <v>52</v>
      </c>
      <c r="B54" s="17" t="s">
        <v>17</v>
      </c>
      <c r="C54" s="4" t="s">
        <v>234</v>
      </c>
      <c r="D54" s="5" t="s">
        <v>227</v>
      </c>
      <c r="E54" s="5" t="s">
        <v>239</v>
      </c>
      <c r="F54" s="34" t="s">
        <v>240</v>
      </c>
      <c r="G54" s="6" t="s">
        <v>241</v>
      </c>
      <c r="H54" s="7" t="s">
        <v>71</v>
      </c>
      <c r="I54" s="7" t="s">
        <v>72</v>
      </c>
      <c r="J54" s="60">
        <v>0.28999999999999998</v>
      </c>
      <c r="K54" s="58">
        <v>-0.01</v>
      </c>
      <c r="L54" s="58">
        <v>2.78</v>
      </c>
      <c r="M54" s="65">
        <v>2.13</v>
      </c>
      <c r="N54" s="58">
        <v>0.16</v>
      </c>
      <c r="O54" s="65">
        <v>0.51</v>
      </c>
      <c r="P54" s="50">
        <f t="shared" si="3"/>
        <v>2.4899999999999998</v>
      </c>
      <c r="Q54" s="65"/>
      <c r="R54" s="62"/>
      <c r="S54" s="62"/>
      <c r="T54" s="62"/>
      <c r="U54" s="62"/>
      <c r="V54" s="62"/>
      <c r="W54" s="50"/>
      <c r="X54" s="7">
        <v>9</v>
      </c>
      <c r="Y54" s="7">
        <v>7</v>
      </c>
      <c r="Z54" s="5" t="s">
        <v>336</v>
      </c>
      <c r="AA54" s="5"/>
    </row>
    <row r="55" spans="1:27" ht="20.100000000000001" customHeight="1" x14ac:dyDescent="0.15">
      <c r="A55" s="2">
        <v>53</v>
      </c>
      <c r="B55" s="17" t="s">
        <v>18</v>
      </c>
      <c r="C55" s="4" t="s">
        <v>242</v>
      </c>
      <c r="D55" s="5" t="s">
        <v>227</v>
      </c>
      <c r="E55" s="5" t="s">
        <v>108</v>
      </c>
      <c r="F55" s="5" t="s">
        <v>108</v>
      </c>
      <c r="G55" s="6" t="s">
        <v>243</v>
      </c>
      <c r="H55" s="7" t="s">
        <v>71</v>
      </c>
      <c r="I55" s="7" t="s">
        <v>72</v>
      </c>
      <c r="J55" s="60">
        <v>-0.41084582544592801</v>
      </c>
      <c r="K55" s="58">
        <v>-0.51098502288936798</v>
      </c>
      <c r="L55" s="58">
        <v>2.9620669713960202</v>
      </c>
      <c r="M55" s="60">
        <v>2.75127715637035</v>
      </c>
      <c r="N55" s="58">
        <v>1.08400220054399</v>
      </c>
      <c r="O55" s="60">
        <v>0.42734033954202499</v>
      </c>
      <c r="P55" s="50">
        <f t="shared" si="3"/>
        <v>3.3729127968419483</v>
      </c>
      <c r="Q55" s="60"/>
      <c r="R55" s="62"/>
      <c r="S55" s="62"/>
      <c r="T55" s="62"/>
      <c r="U55" s="62"/>
      <c r="V55" s="62"/>
      <c r="W55" s="50"/>
      <c r="X55" s="7">
        <v>7</v>
      </c>
      <c r="Y55" s="7">
        <v>5</v>
      </c>
      <c r="Z55" s="5" t="s">
        <v>334</v>
      </c>
      <c r="AA55" s="5"/>
    </row>
    <row r="56" spans="1:27" ht="20.100000000000001" customHeight="1" x14ac:dyDescent="0.15">
      <c r="A56" s="2">
        <v>54</v>
      </c>
      <c r="B56" s="17" t="s">
        <v>19</v>
      </c>
      <c r="C56" s="4" t="s">
        <v>242</v>
      </c>
      <c r="D56" s="5" t="s">
        <v>227</v>
      </c>
      <c r="E56" s="5" t="s">
        <v>108</v>
      </c>
      <c r="F56" s="5" t="s">
        <v>108</v>
      </c>
      <c r="G56" s="6" t="s">
        <v>243</v>
      </c>
      <c r="H56" s="7" t="s">
        <v>71</v>
      </c>
      <c r="I56" s="7" t="s">
        <v>72</v>
      </c>
      <c r="J56" s="60">
        <v>-0.48</v>
      </c>
      <c r="K56" s="58">
        <v>-0.97799999999999998</v>
      </c>
      <c r="L56" s="58">
        <v>3.82</v>
      </c>
      <c r="M56" s="60"/>
      <c r="N56" s="58">
        <v>0.41599999999999998</v>
      </c>
      <c r="O56" s="60">
        <v>0.57200000000000006</v>
      </c>
      <c r="P56" s="50">
        <f t="shared" si="3"/>
        <v>4.3</v>
      </c>
      <c r="Q56" s="60"/>
      <c r="R56" s="62"/>
      <c r="S56" s="62"/>
      <c r="T56" s="62"/>
      <c r="U56" s="62"/>
      <c r="V56" s="62"/>
      <c r="W56" s="50"/>
      <c r="X56" s="7">
        <v>8</v>
      </c>
      <c r="Y56" s="16">
        <v>6</v>
      </c>
      <c r="Z56" s="5" t="s">
        <v>334</v>
      </c>
      <c r="AA56" s="5"/>
    </row>
    <row r="57" spans="1:27" ht="20.100000000000001" customHeight="1" x14ac:dyDescent="0.15">
      <c r="A57" s="2">
        <v>55</v>
      </c>
      <c r="B57" s="17" t="s">
        <v>20</v>
      </c>
      <c r="C57" s="4" t="s">
        <v>244</v>
      </c>
      <c r="D57" s="5" t="s">
        <v>245</v>
      </c>
      <c r="E57" s="5" t="s">
        <v>108</v>
      </c>
      <c r="F57" s="5" t="s">
        <v>108</v>
      </c>
      <c r="G57" s="30" t="s">
        <v>353</v>
      </c>
      <c r="H57" s="7" t="s">
        <v>77</v>
      </c>
      <c r="I57" s="8" t="s">
        <v>78</v>
      </c>
      <c r="J57" s="60">
        <v>0.68</v>
      </c>
      <c r="K57" s="66">
        <v>-0.1</v>
      </c>
      <c r="L57" s="66">
        <v>4.66</v>
      </c>
      <c r="M57" s="60"/>
      <c r="N57" s="66">
        <v>2.09</v>
      </c>
      <c r="O57" s="60">
        <v>1.885</v>
      </c>
      <c r="P57" s="50">
        <f t="shared" si="3"/>
        <v>3.98</v>
      </c>
      <c r="Q57" s="60"/>
      <c r="R57" s="62"/>
      <c r="S57" s="62"/>
      <c r="T57" s="62"/>
      <c r="U57" s="62"/>
      <c r="V57" s="62"/>
      <c r="W57" s="50"/>
      <c r="X57" s="8">
        <v>23</v>
      </c>
      <c r="Y57" s="7">
        <v>11</v>
      </c>
      <c r="Z57" s="5" t="s">
        <v>337</v>
      </c>
      <c r="AA57" s="5"/>
    </row>
    <row r="58" spans="1:27" ht="20.100000000000001" customHeight="1" x14ac:dyDescent="0.15">
      <c r="A58" s="2">
        <v>56</v>
      </c>
      <c r="B58" s="17" t="s">
        <v>31</v>
      </c>
      <c r="C58" s="4" t="s">
        <v>246</v>
      </c>
      <c r="D58" s="5" t="s">
        <v>245</v>
      </c>
      <c r="E58" s="5" t="s">
        <v>108</v>
      </c>
      <c r="F58" s="5" t="s">
        <v>108</v>
      </c>
      <c r="G58" s="30" t="s">
        <v>353</v>
      </c>
      <c r="H58" s="7" t="s">
        <v>77</v>
      </c>
      <c r="I58" s="8" t="s">
        <v>78</v>
      </c>
      <c r="J58" s="60">
        <v>1.21</v>
      </c>
      <c r="K58" s="66">
        <v>0.02</v>
      </c>
      <c r="L58" s="66">
        <v>3.73</v>
      </c>
      <c r="M58" s="60">
        <v>3.54</v>
      </c>
      <c r="N58" s="66">
        <v>0.71</v>
      </c>
      <c r="O58" s="60">
        <v>0.56999999999999995</v>
      </c>
      <c r="P58" s="50">
        <f t="shared" si="3"/>
        <v>2.52</v>
      </c>
      <c r="Q58" s="60"/>
      <c r="R58" s="62"/>
      <c r="S58" s="62"/>
      <c r="T58" s="62"/>
      <c r="U58" s="62"/>
      <c r="V58" s="62"/>
      <c r="W58" s="50"/>
      <c r="X58" s="7">
        <v>13</v>
      </c>
      <c r="Y58" s="7">
        <v>1</v>
      </c>
      <c r="Z58" s="5" t="s">
        <v>348</v>
      </c>
      <c r="AA58" s="5"/>
    </row>
    <row r="59" spans="1:27" ht="20.100000000000001" customHeight="1" x14ac:dyDescent="0.15">
      <c r="A59" s="2">
        <v>57</v>
      </c>
      <c r="B59" s="17" t="s">
        <v>21</v>
      </c>
      <c r="C59" s="4" t="s">
        <v>247</v>
      </c>
      <c r="D59" s="5" t="s">
        <v>245</v>
      </c>
      <c r="E59" s="5" t="s">
        <v>248</v>
      </c>
      <c r="F59" s="34" t="s">
        <v>249</v>
      </c>
      <c r="G59" s="30" t="s">
        <v>353</v>
      </c>
      <c r="H59" s="7" t="s">
        <v>77</v>
      </c>
      <c r="I59" s="8" t="s">
        <v>78</v>
      </c>
      <c r="J59" s="60">
        <v>0.39914395081516596</v>
      </c>
      <c r="K59" s="58">
        <v>9.1545884144832002E-2</v>
      </c>
      <c r="L59" s="58">
        <v>3.7622494555162298</v>
      </c>
      <c r="M59" s="65"/>
      <c r="N59" s="58">
        <v>-0.58612246749296404</v>
      </c>
      <c r="O59" s="65">
        <v>-0.48457128906771002</v>
      </c>
      <c r="P59" s="50">
        <f t="shared" si="3"/>
        <v>3.3631055047010641</v>
      </c>
      <c r="Q59" s="65"/>
      <c r="R59" s="62"/>
      <c r="S59" s="62"/>
      <c r="T59" s="62"/>
      <c r="U59" s="62"/>
      <c r="V59" s="62"/>
      <c r="W59" s="50"/>
      <c r="X59" s="7">
        <v>16</v>
      </c>
      <c r="Y59" s="7">
        <v>4</v>
      </c>
      <c r="Z59" s="5" t="s">
        <v>338</v>
      </c>
      <c r="AA59" s="5"/>
    </row>
    <row r="60" spans="1:27" ht="20.100000000000001" customHeight="1" x14ac:dyDescent="0.15">
      <c r="A60" s="2">
        <v>58</v>
      </c>
      <c r="B60" s="17" t="s">
        <v>22</v>
      </c>
      <c r="C60" s="4" t="s">
        <v>247</v>
      </c>
      <c r="D60" s="5" t="s">
        <v>245</v>
      </c>
      <c r="E60" s="5" t="s">
        <v>250</v>
      </c>
      <c r="F60" s="34" t="s">
        <v>251</v>
      </c>
      <c r="G60" s="30" t="s">
        <v>353</v>
      </c>
      <c r="H60" s="7" t="s">
        <v>77</v>
      </c>
      <c r="I60" s="8" t="s">
        <v>78</v>
      </c>
      <c r="J60" s="60">
        <v>0.495</v>
      </c>
      <c r="K60" s="58">
        <v>-0.21</v>
      </c>
      <c r="L60" s="58">
        <v>5.4</v>
      </c>
      <c r="M60" s="65"/>
      <c r="N60" s="58">
        <v>0.71</v>
      </c>
      <c r="O60" s="65">
        <v>0.14000000000000001</v>
      </c>
      <c r="P60" s="50">
        <f>L60-J60</f>
        <v>4.9050000000000002</v>
      </c>
      <c r="Q60" s="65"/>
      <c r="R60" s="62"/>
      <c r="S60" s="62"/>
      <c r="T60" s="62"/>
      <c r="U60" s="62"/>
      <c r="V60" s="62"/>
      <c r="W60" s="50"/>
      <c r="X60" s="7">
        <v>17</v>
      </c>
      <c r="Y60" s="7">
        <v>5</v>
      </c>
      <c r="Z60" s="5" t="s">
        <v>339</v>
      </c>
      <c r="AA60" s="5"/>
    </row>
    <row r="61" spans="1:27" ht="20.100000000000001" customHeight="1" x14ac:dyDescent="0.15">
      <c r="A61" s="2">
        <v>59</v>
      </c>
      <c r="B61" s="17" t="s">
        <v>23</v>
      </c>
      <c r="C61" s="4" t="s">
        <v>252</v>
      </c>
      <c r="D61" s="5" t="s">
        <v>245</v>
      </c>
      <c r="E61" s="5" t="s">
        <v>253</v>
      </c>
      <c r="F61" s="34" t="s">
        <v>254</v>
      </c>
      <c r="G61" s="30" t="s">
        <v>353</v>
      </c>
      <c r="H61" s="7" t="s">
        <v>77</v>
      </c>
      <c r="I61" s="8" t="s">
        <v>78</v>
      </c>
      <c r="J61" s="60">
        <v>0.49</v>
      </c>
      <c r="K61" s="58">
        <v>1.4</v>
      </c>
      <c r="L61" s="58">
        <v>4.6100000000000003</v>
      </c>
      <c r="M61" s="65">
        <v>3.59</v>
      </c>
      <c r="N61" s="58">
        <v>0.41</v>
      </c>
      <c r="O61" s="65">
        <v>0.44</v>
      </c>
      <c r="P61" s="50">
        <f t="shared" si="3"/>
        <v>4.12</v>
      </c>
      <c r="Q61" s="65">
        <v>-28.12</v>
      </c>
      <c r="R61" s="58">
        <v>-28.92</v>
      </c>
      <c r="S61" s="58">
        <v>-24.94</v>
      </c>
      <c r="T61" s="62">
        <v>-26.145</v>
      </c>
      <c r="U61" s="58">
        <v>-28.29</v>
      </c>
      <c r="V61" s="62">
        <v>-28.914999999999999</v>
      </c>
      <c r="W61" s="50">
        <f>S61-Q61</f>
        <v>3.1799999999999997</v>
      </c>
      <c r="X61" s="7">
        <v>15</v>
      </c>
      <c r="Y61" s="7">
        <v>3</v>
      </c>
      <c r="Z61" s="5" t="s">
        <v>340</v>
      </c>
      <c r="AA61" s="5"/>
    </row>
    <row r="62" spans="1:27" ht="20.100000000000001" customHeight="1" x14ac:dyDescent="0.15">
      <c r="A62" s="2">
        <v>60</v>
      </c>
      <c r="B62" s="17" t="s">
        <v>24</v>
      </c>
      <c r="C62" s="4" t="s">
        <v>255</v>
      </c>
      <c r="D62" s="5" t="s">
        <v>245</v>
      </c>
      <c r="E62" s="5" t="s">
        <v>256</v>
      </c>
      <c r="F62" s="34" t="s">
        <v>257</v>
      </c>
      <c r="G62" s="30" t="s">
        <v>353</v>
      </c>
      <c r="H62" s="7" t="s">
        <v>77</v>
      </c>
      <c r="I62" s="8" t="s">
        <v>78</v>
      </c>
      <c r="J62" s="60">
        <v>0.45</v>
      </c>
      <c r="K62" s="58">
        <v>0.21</v>
      </c>
      <c r="L62" s="58">
        <v>4.5199999999999996</v>
      </c>
      <c r="M62" s="65"/>
      <c r="N62" s="58">
        <v>1.71</v>
      </c>
      <c r="O62" s="65">
        <v>1.82</v>
      </c>
      <c r="P62" s="50">
        <f t="shared" si="3"/>
        <v>4.0699999999999994</v>
      </c>
      <c r="Q62" s="65">
        <v>-27.6</v>
      </c>
      <c r="R62" s="58">
        <v>-27.92</v>
      </c>
      <c r="S62" s="58">
        <v>-24.17</v>
      </c>
      <c r="T62" s="62"/>
      <c r="U62" s="58">
        <v>-27.29</v>
      </c>
      <c r="V62" s="62">
        <v>-26.77</v>
      </c>
      <c r="W62" s="50">
        <f>S62-Q62</f>
        <v>3.4299999999999997</v>
      </c>
      <c r="X62" s="7">
        <v>18</v>
      </c>
      <c r="Y62" s="7">
        <v>6</v>
      </c>
      <c r="Z62" s="5" t="s">
        <v>340</v>
      </c>
      <c r="AA62" s="5"/>
    </row>
    <row r="63" spans="1:27" ht="20.100000000000001" customHeight="1" x14ac:dyDescent="0.15">
      <c r="A63" s="2">
        <v>61</v>
      </c>
      <c r="B63" s="17" t="s">
        <v>32</v>
      </c>
      <c r="C63" s="4" t="s">
        <v>258</v>
      </c>
      <c r="D63" s="5" t="s">
        <v>245</v>
      </c>
      <c r="E63" s="5" t="s">
        <v>259</v>
      </c>
      <c r="F63" s="34" t="s">
        <v>260</v>
      </c>
      <c r="G63" s="30" t="s">
        <v>353</v>
      </c>
      <c r="H63" s="7" t="s">
        <v>77</v>
      </c>
      <c r="I63" s="8" t="s">
        <v>78</v>
      </c>
      <c r="J63" s="60">
        <v>0.66</v>
      </c>
      <c r="K63" s="58">
        <v>0.78</v>
      </c>
      <c r="L63" s="58">
        <v>4.07</v>
      </c>
      <c r="M63" s="65"/>
      <c r="N63" s="58">
        <v>1.57</v>
      </c>
      <c r="O63" s="65">
        <v>1.05</v>
      </c>
      <c r="P63" s="50">
        <f t="shared" si="3"/>
        <v>3.41</v>
      </c>
      <c r="Q63" s="65">
        <v>-27.66</v>
      </c>
      <c r="R63" s="58">
        <v>-27.38</v>
      </c>
      <c r="S63" s="58">
        <v>-22.49</v>
      </c>
      <c r="T63" s="62"/>
      <c r="U63" s="58">
        <v>-27.84</v>
      </c>
      <c r="V63" s="62">
        <v>-27.69</v>
      </c>
      <c r="W63" s="50">
        <f>S63-Q63</f>
        <v>5.1700000000000017</v>
      </c>
      <c r="X63" s="7">
        <v>19</v>
      </c>
      <c r="Y63" s="7">
        <v>7</v>
      </c>
      <c r="Z63" s="5" t="s">
        <v>340</v>
      </c>
      <c r="AA63" s="5"/>
    </row>
    <row r="64" spans="1:27" ht="20.100000000000001" customHeight="1" x14ac:dyDescent="0.15">
      <c r="A64" s="2">
        <v>62</v>
      </c>
      <c r="B64" s="17">
        <v>911</v>
      </c>
      <c r="C64" s="4" t="s">
        <v>261</v>
      </c>
      <c r="D64" s="5" t="s">
        <v>245</v>
      </c>
      <c r="E64" s="5" t="s">
        <v>262</v>
      </c>
      <c r="F64" s="34" t="s">
        <v>263</v>
      </c>
      <c r="G64" s="30" t="s">
        <v>353</v>
      </c>
      <c r="H64" s="7" t="s">
        <v>77</v>
      </c>
      <c r="I64" s="8" t="s">
        <v>78</v>
      </c>
      <c r="J64" s="60"/>
      <c r="K64" s="65"/>
      <c r="L64" s="58">
        <v>4.49</v>
      </c>
      <c r="M64" s="65"/>
      <c r="N64" s="58">
        <v>2.11</v>
      </c>
      <c r="O64" s="65">
        <v>2.0299999999999998</v>
      </c>
      <c r="P64" s="50"/>
      <c r="Q64" s="65"/>
      <c r="R64" s="62"/>
      <c r="S64" s="58">
        <v>-24.49</v>
      </c>
      <c r="T64" s="62"/>
      <c r="U64" s="58">
        <v>-28.43</v>
      </c>
      <c r="V64" s="62">
        <v>-27.55</v>
      </c>
      <c r="W64" s="50"/>
      <c r="X64" s="7">
        <v>20</v>
      </c>
      <c r="Y64" s="7">
        <v>8</v>
      </c>
      <c r="Z64" s="5" t="s">
        <v>340</v>
      </c>
      <c r="AA64" s="5"/>
    </row>
    <row r="65" spans="1:27" ht="20.100000000000001" customHeight="1" x14ac:dyDescent="0.15">
      <c r="A65" s="2">
        <v>63</v>
      </c>
      <c r="B65" s="17" t="s">
        <v>33</v>
      </c>
      <c r="C65" s="4" t="s">
        <v>264</v>
      </c>
      <c r="D65" s="5" t="s">
        <v>245</v>
      </c>
      <c r="E65" s="5" t="s">
        <v>265</v>
      </c>
      <c r="F65" s="34" t="s">
        <v>266</v>
      </c>
      <c r="G65" s="30" t="s">
        <v>353</v>
      </c>
      <c r="H65" s="7" t="s">
        <v>77</v>
      </c>
      <c r="I65" s="8" t="s">
        <v>78</v>
      </c>
      <c r="J65" s="60">
        <v>0.67500000000000004</v>
      </c>
      <c r="K65" s="58">
        <v>0.93</v>
      </c>
      <c r="L65" s="58">
        <v>3.91</v>
      </c>
      <c r="M65" s="65"/>
      <c r="N65" s="58">
        <v>1.85</v>
      </c>
      <c r="O65" s="65">
        <v>2.29</v>
      </c>
      <c r="P65" s="50">
        <f>L65-J65</f>
        <v>3.2350000000000003</v>
      </c>
      <c r="Q65" s="65">
        <v>-28.21</v>
      </c>
      <c r="R65" s="58">
        <v>-31.13</v>
      </c>
      <c r="S65" s="58">
        <v>-24.4</v>
      </c>
      <c r="T65" s="62"/>
      <c r="U65" s="58">
        <v>-27.95</v>
      </c>
      <c r="V65" s="62">
        <v>-27.65</v>
      </c>
      <c r="W65" s="50">
        <f>S65-Q65</f>
        <v>3.8100000000000023</v>
      </c>
      <c r="X65" s="7">
        <v>21</v>
      </c>
      <c r="Y65" s="7">
        <v>9</v>
      </c>
      <c r="Z65" s="5" t="s">
        <v>340</v>
      </c>
      <c r="AA65" s="5"/>
    </row>
    <row r="66" spans="1:27" ht="20.100000000000001" customHeight="1" x14ac:dyDescent="0.15">
      <c r="A66" s="2">
        <v>64</v>
      </c>
      <c r="B66" s="17" t="s">
        <v>25</v>
      </c>
      <c r="C66" s="4" t="s">
        <v>267</v>
      </c>
      <c r="D66" s="5" t="s">
        <v>245</v>
      </c>
      <c r="E66" s="5" t="s">
        <v>268</v>
      </c>
      <c r="F66" s="34" t="s">
        <v>269</v>
      </c>
      <c r="G66" s="30" t="s">
        <v>353</v>
      </c>
      <c r="H66" s="7" t="s">
        <v>77</v>
      </c>
      <c r="I66" s="8" t="s">
        <v>78</v>
      </c>
      <c r="J66" s="60">
        <v>0.33</v>
      </c>
      <c r="K66" s="58">
        <v>0.51</v>
      </c>
      <c r="L66" s="58">
        <v>3.79</v>
      </c>
      <c r="M66" s="65">
        <v>3.54</v>
      </c>
      <c r="N66" s="58">
        <v>3.17</v>
      </c>
      <c r="O66" s="65">
        <v>2.16</v>
      </c>
      <c r="P66" s="50">
        <f t="shared" ref="P66:P70" si="4">L66-J66</f>
        <v>3.46</v>
      </c>
      <c r="Q66" s="65">
        <v>-25.884999999999998</v>
      </c>
      <c r="R66" s="62"/>
      <c r="S66" s="62"/>
      <c r="T66" s="62"/>
      <c r="U66" s="62"/>
      <c r="V66" s="62">
        <v>-25.33</v>
      </c>
      <c r="W66" s="50"/>
      <c r="X66" s="7">
        <v>22</v>
      </c>
      <c r="Y66" s="7">
        <v>10</v>
      </c>
      <c r="Z66" s="5" t="s">
        <v>340</v>
      </c>
      <c r="AA66" s="5"/>
    </row>
    <row r="67" spans="1:27" ht="20.100000000000001" customHeight="1" x14ac:dyDescent="0.15">
      <c r="A67" s="2">
        <v>65</v>
      </c>
      <c r="B67" s="17" t="s">
        <v>34</v>
      </c>
      <c r="C67" s="4" t="s">
        <v>270</v>
      </c>
      <c r="D67" s="5" t="s">
        <v>245</v>
      </c>
      <c r="E67" s="5" t="s">
        <v>271</v>
      </c>
      <c r="F67" s="34" t="s">
        <v>272</v>
      </c>
      <c r="G67" s="30" t="s">
        <v>353</v>
      </c>
      <c r="H67" s="7" t="s">
        <v>77</v>
      </c>
      <c r="I67" s="8" t="s">
        <v>78</v>
      </c>
      <c r="J67" s="60">
        <v>0.87</v>
      </c>
      <c r="K67" s="58">
        <v>0.13</v>
      </c>
      <c r="L67" s="58">
        <v>4.6100000000000003</v>
      </c>
      <c r="M67" s="65">
        <v>3.59</v>
      </c>
      <c r="N67" s="58">
        <v>-0.18</v>
      </c>
      <c r="O67" s="65">
        <v>0.21</v>
      </c>
      <c r="P67" s="50">
        <f t="shared" si="4"/>
        <v>3.74</v>
      </c>
      <c r="Q67" s="65"/>
      <c r="R67" s="62"/>
      <c r="S67" s="62"/>
      <c r="T67" s="62"/>
      <c r="U67" s="62"/>
      <c r="V67" s="62"/>
      <c r="W67" s="50"/>
      <c r="X67" s="7">
        <v>14</v>
      </c>
      <c r="Y67" s="16">
        <v>2</v>
      </c>
      <c r="Z67" s="5" t="s">
        <v>340</v>
      </c>
      <c r="AA67" s="5"/>
    </row>
    <row r="68" spans="1:27" ht="20.100000000000001" customHeight="1" x14ac:dyDescent="0.15">
      <c r="A68" s="2">
        <v>66</v>
      </c>
      <c r="B68" s="17" t="s">
        <v>15</v>
      </c>
      <c r="C68" s="4" t="s">
        <v>273</v>
      </c>
      <c r="D68" s="5" t="s">
        <v>245</v>
      </c>
      <c r="E68" s="5" t="s">
        <v>108</v>
      </c>
      <c r="F68" s="5" t="s">
        <v>108</v>
      </c>
      <c r="G68" s="6" t="s">
        <v>274</v>
      </c>
      <c r="H68" s="7" t="s">
        <v>71</v>
      </c>
      <c r="I68" s="7" t="s">
        <v>72</v>
      </c>
      <c r="J68" s="60">
        <v>1.3245</v>
      </c>
      <c r="K68" s="58">
        <v>-0.4</v>
      </c>
      <c r="L68" s="58">
        <v>4.4710000000000001</v>
      </c>
      <c r="M68" s="60">
        <v>4.6130000000000004</v>
      </c>
      <c r="N68" s="58">
        <v>0.20399999999999999</v>
      </c>
      <c r="O68" s="60">
        <v>9.8000000000000004E-2</v>
      </c>
      <c r="P68" s="50">
        <f t="shared" si="4"/>
        <v>3.1465000000000001</v>
      </c>
      <c r="Q68" s="60">
        <v>-30.283000000000001</v>
      </c>
      <c r="R68" s="58">
        <v>-30.795999999999999</v>
      </c>
      <c r="S68" s="58">
        <v>-26.335999999999999</v>
      </c>
      <c r="T68" s="62">
        <v>-27.451500000000003</v>
      </c>
      <c r="U68" s="58">
        <v>-31.221</v>
      </c>
      <c r="V68" s="62">
        <v>-30.478000000000002</v>
      </c>
      <c r="W68" s="50">
        <f>S68-Q68</f>
        <v>3.9470000000000027</v>
      </c>
      <c r="X68" s="17">
        <v>4</v>
      </c>
      <c r="Y68" s="17"/>
      <c r="Z68" s="5" t="s">
        <v>341</v>
      </c>
      <c r="AA68" s="5"/>
    </row>
    <row r="69" spans="1:27" ht="20.100000000000001" customHeight="1" x14ac:dyDescent="0.15">
      <c r="A69" s="2">
        <v>67</v>
      </c>
      <c r="B69" s="17" t="s">
        <v>26</v>
      </c>
      <c r="C69" s="4" t="s">
        <v>275</v>
      </c>
      <c r="D69" s="5" t="s">
        <v>276</v>
      </c>
      <c r="E69" s="5" t="s">
        <v>277</v>
      </c>
      <c r="F69" s="34" t="s">
        <v>278</v>
      </c>
      <c r="G69" s="6" t="s">
        <v>279</v>
      </c>
      <c r="H69" s="7" t="s">
        <v>71</v>
      </c>
      <c r="I69" s="7" t="s">
        <v>72</v>
      </c>
      <c r="J69" s="60">
        <v>-0.16200000000000001</v>
      </c>
      <c r="K69" s="58">
        <v>-1.2350000000000001</v>
      </c>
      <c r="L69" s="58">
        <v>1.625</v>
      </c>
      <c r="M69" s="65">
        <v>0.57350000000000001</v>
      </c>
      <c r="N69" s="58">
        <v>-1.4550000000000001</v>
      </c>
      <c r="O69" s="65">
        <v>-1.282</v>
      </c>
      <c r="P69" s="50">
        <f t="shared" si="4"/>
        <v>1.7869999999999999</v>
      </c>
      <c r="Q69" s="65">
        <v>-29.905000000000001</v>
      </c>
      <c r="R69" s="58">
        <v>-30.2537892847382</v>
      </c>
      <c r="S69" s="58">
        <v>-27.134888615329299</v>
      </c>
      <c r="T69" s="62">
        <v>-28.114382764940849</v>
      </c>
      <c r="U69" s="58">
        <v>-30.43</v>
      </c>
      <c r="V69" s="62">
        <v>-30.34</v>
      </c>
      <c r="W69" s="50">
        <f>S69-Q69</f>
        <v>2.7701113846707024</v>
      </c>
      <c r="X69" s="17">
        <v>11</v>
      </c>
      <c r="Y69" s="17"/>
      <c r="Z69" s="5" t="s">
        <v>342</v>
      </c>
      <c r="AA69" s="5"/>
    </row>
    <row r="70" spans="1:27" ht="20.100000000000001" customHeight="1" x14ac:dyDescent="0.15">
      <c r="A70" s="2">
        <v>68</v>
      </c>
      <c r="B70" s="17" t="s">
        <v>27</v>
      </c>
      <c r="C70" s="4" t="s">
        <v>280</v>
      </c>
      <c r="D70" s="5" t="s">
        <v>276</v>
      </c>
      <c r="E70" s="5" t="s">
        <v>281</v>
      </c>
      <c r="F70" s="34" t="s">
        <v>282</v>
      </c>
      <c r="G70" s="6" t="s">
        <v>279</v>
      </c>
      <c r="H70" s="7" t="s">
        <v>71</v>
      </c>
      <c r="I70" s="7" t="s">
        <v>72</v>
      </c>
      <c r="J70" s="60">
        <v>-0.57799999999999996</v>
      </c>
      <c r="K70" s="58">
        <v>-2.09</v>
      </c>
      <c r="L70" s="58">
        <v>2.1930000000000001</v>
      </c>
      <c r="M70" s="65">
        <v>0.72</v>
      </c>
      <c r="N70" s="58">
        <v>-3.98</v>
      </c>
      <c r="O70" s="65">
        <v>-0.22450000000000001</v>
      </c>
      <c r="P70" s="50">
        <f t="shared" si="4"/>
        <v>2.7709999999999999</v>
      </c>
      <c r="Q70" s="65">
        <v>-30.07</v>
      </c>
      <c r="R70" s="58">
        <v>-30.35</v>
      </c>
      <c r="S70" s="58">
        <v>-24.046546009594401</v>
      </c>
      <c r="T70" s="62">
        <v>-24.865348979197101</v>
      </c>
      <c r="U70" s="58">
        <v>-30.27</v>
      </c>
      <c r="V70" s="62">
        <v>-30.44</v>
      </c>
      <c r="W70" s="50">
        <f>S70-Q70</f>
        <v>6.0234539904055993</v>
      </c>
      <c r="X70" s="17">
        <v>12</v>
      </c>
      <c r="Y70" s="17"/>
      <c r="Z70" s="5" t="s">
        <v>342</v>
      </c>
      <c r="AA70" s="5"/>
    </row>
    <row r="71" spans="1:27" ht="20.100000000000001" customHeight="1" x14ac:dyDescent="0.15">
      <c r="A71" s="2">
        <v>69</v>
      </c>
      <c r="B71" s="12" t="s">
        <v>28</v>
      </c>
      <c r="C71" s="13" t="s">
        <v>280</v>
      </c>
      <c r="D71" s="14" t="s">
        <v>276</v>
      </c>
      <c r="E71" s="14" t="s">
        <v>283</v>
      </c>
      <c r="F71" s="35" t="s">
        <v>284</v>
      </c>
      <c r="G71" s="15" t="s">
        <v>279</v>
      </c>
      <c r="H71" s="16" t="s">
        <v>71</v>
      </c>
      <c r="I71" s="16" t="s">
        <v>72</v>
      </c>
      <c r="J71" s="59"/>
      <c r="K71" s="67"/>
      <c r="L71" s="67"/>
      <c r="M71" s="67"/>
      <c r="N71" s="59">
        <v>-1.667</v>
      </c>
      <c r="O71" s="67">
        <v>-0.503</v>
      </c>
      <c r="P71" s="51"/>
      <c r="Q71" s="67"/>
      <c r="R71" s="68"/>
      <c r="S71" s="68"/>
      <c r="T71" s="68"/>
      <c r="U71" s="59">
        <v>-30.89</v>
      </c>
      <c r="V71" s="68">
        <v>-30.2420735532781</v>
      </c>
      <c r="W71" s="51"/>
      <c r="X71" s="12">
        <v>10</v>
      </c>
      <c r="Y71" s="12"/>
      <c r="Z71" s="14" t="s">
        <v>342</v>
      </c>
      <c r="AA71" s="49"/>
    </row>
    <row r="72" spans="1:27" ht="20.100000000000001" customHeight="1" x14ac:dyDescent="0.15">
      <c r="A72" s="2">
        <v>70</v>
      </c>
      <c r="B72" s="3" t="s">
        <v>29</v>
      </c>
      <c r="C72" s="4" t="s">
        <v>285</v>
      </c>
      <c r="D72" s="5" t="s">
        <v>286</v>
      </c>
      <c r="E72" s="5" t="s">
        <v>287</v>
      </c>
      <c r="F72" s="5" t="s">
        <v>288</v>
      </c>
      <c r="G72" s="6" t="s">
        <v>289</v>
      </c>
      <c r="H72" s="7" t="s">
        <v>71</v>
      </c>
      <c r="I72" s="7" t="s">
        <v>72</v>
      </c>
      <c r="J72" s="58"/>
      <c r="K72" s="58"/>
      <c r="L72" s="58"/>
      <c r="M72" s="58"/>
      <c r="N72" s="58"/>
      <c r="O72" s="58"/>
      <c r="P72" s="50"/>
      <c r="Q72" s="58">
        <v>-29.47</v>
      </c>
      <c r="R72" s="58">
        <v>-29.49</v>
      </c>
      <c r="S72" s="58">
        <v>-22.53</v>
      </c>
      <c r="T72" s="66"/>
      <c r="U72" s="58">
        <v>-29.22</v>
      </c>
      <c r="V72" s="66">
        <v>-28.094999999999999</v>
      </c>
      <c r="W72" s="50">
        <f>S72-Q72</f>
        <v>6.9399999999999977</v>
      </c>
      <c r="X72" s="10"/>
      <c r="Y72" s="23"/>
      <c r="Z72" s="5" t="s">
        <v>343</v>
      </c>
      <c r="AA72" s="5"/>
    </row>
    <row r="73" spans="1:27" ht="20.100000000000001" customHeight="1" x14ac:dyDescent="0.15">
      <c r="A73" s="2">
        <v>71</v>
      </c>
      <c r="B73" s="3" t="s">
        <v>30</v>
      </c>
      <c r="C73" s="4" t="s">
        <v>285</v>
      </c>
      <c r="D73" s="5" t="s">
        <v>286</v>
      </c>
      <c r="E73" s="5" t="s">
        <v>290</v>
      </c>
      <c r="F73" s="5" t="s">
        <v>291</v>
      </c>
      <c r="G73" s="6" t="s">
        <v>289</v>
      </c>
      <c r="H73" s="7" t="s">
        <v>71</v>
      </c>
      <c r="I73" s="7" t="s">
        <v>72</v>
      </c>
      <c r="J73" s="58"/>
      <c r="K73" s="58"/>
      <c r="L73" s="58"/>
      <c r="M73" s="58"/>
      <c r="N73" s="58"/>
      <c r="O73" s="58"/>
      <c r="P73" s="50"/>
      <c r="Q73" s="58">
        <v>-28.820473038367901</v>
      </c>
      <c r="R73" s="58">
        <v>-28.877755980394799</v>
      </c>
      <c r="S73" s="58">
        <v>-27.655973256512901</v>
      </c>
      <c r="T73" s="66">
        <v>-27.982529307549701</v>
      </c>
      <c r="U73" s="66"/>
      <c r="V73" s="66"/>
      <c r="W73" s="50">
        <f>S73-Q73</f>
        <v>1.1644997818549996</v>
      </c>
      <c r="X73" s="10"/>
      <c r="Y73" s="23"/>
      <c r="Z73" s="5" t="s">
        <v>343</v>
      </c>
      <c r="AA73" s="5"/>
    </row>
    <row r="74" spans="1:27" ht="20.100000000000001" customHeight="1" x14ac:dyDescent="0.15">
      <c r="A74" s="11">
        <v>72</v>
      </c>
      <c r="B74" s="12" t="s">
        <v>292</v>
      </c>
      <c r="C74" s="13" t="s">
        <v>293</v>
      </c>
      <c r="D74" s="14" t="s">
        <v>294</v>
      </c>
      <c r="E74" s="14" t="s">
        <v>108</v>
      </c>
      <c r="F74" s="14" t="s">
        <v>108</v>
      </c>
      <c r="G74" s="15" t="s">
        <v>295</v>
      </c>
      <c r="H74" s="16" t="s">
        <v>77</v>
      </c>
      <c r="I74" s="16" t="s">
        <v>78</v>
      </c>
      <c r="J74" s="59">
        <v>-0.75</v>
      </c>
      <c r="K74" s="68">
        <v>-1.99</v>
      </c>
      <c r="L74" s="68">
        <v>6.18</v>
      </c>
      <c r="M74" s="59"/>
      <c r="N74" s="68">
        <v>-2.33</v>
      </c>
      <c r="O74" s="59">
        <v>-1.0450000000000002</v>
      </c>
      <c r="P74" s="51">
        <f>L74-J74</f>
        <v>6.93</v>
      </c>
      <c r="Q74" s="16"/>
      <c r="R74" s="12"/>
      <c r="S74" s="12"/>
      <c r="T74" s="12"/>
      <c r="U74" s="12"/>
      <c r="V74" s="12"/>
      <c r="W74" s="51"/>
      <c r="X74" s="12"/>
      <c r="Y74" s="11"/>
      <c r="Z74" s="14" t="s">
        <v>344</v>
      </c>
      <c r="AA74" s="49"/>
    </row>
    <row r="75" spans="1:27" ht="20.100000000000001" customHeight="1" x14ac:dyDescent="0.15">
      <c r="A75" s="36">
        <v>73</v>
      </c>
      <c r="B75" s="12" t="s">
        <v>296</v>
      </c>
      <c r="C75" s="37" t="s">
        <v>297</v>
      </c>
      <c r="D75" s="38" t="s">
        <v>298</v>
      </c>
      <c r="E75" s="38" t="s">
        <v>108</v>
      </c>
      <c r="F75" s="38" t="s">
        <v>108</v>
      </c>
      <c r="G75" s="39" t="s">
        <v>299</v>
      </c>
      <c r="H75" s="40" t="s">
        <v>71</v>
      </c>
      <c r="I75" s="40" t="s">
        <v>72</v>
      </c>
      <c r="J75" s="59">
        <v>1.04</v>
      </c>
      <c r="K75" s="68">
        <v>-1.22</v>
      </c>
      <c r="L75" s="68">
        <v>2.96</v>
      </c>
      <c r="M75" s="59">
        <v>1.54</v>
      </c>
      <c r="N75" s="68">
        <v>1.2</v>
      </c>
      <c r="O75" s="59">
        <v>0.55000000000000004</v>
      </c>
      <c r="P75" s="56">
        <f>L75-J75</f>
        <v>1.92</v>
      </c>
      <c r="Q75" s="16"/>
      <c r="R75" s="12"/>
      <c r="S75" s="12"/>
      <c r="T75" s="12"/>
      <c r="U75" s="12"/>
      <c r="V75" s="12"/>
      <c r="W75" s="44"/>
      <c r="X75" s="12"/>
      <c r="Y75" s="36"/>
      <c r="Z75" s="38" t="s">
        <v>345</v>
      </c>
      <c r="AA75" s="49"/>
    </row>
  </sheetData>
  <mergeCells count="12">
    <mergeCell ref="A1:A2"/>
    <mergeCell ref="B1:B2"/>
    <mergeCell ref="C1:D2"/>
    <mergeCell ref="Q1:W1"/>
    <mergeCell ref="Z1:Z2"/>
    <mergeCell ref="E1:F1"/>
    <mergeCell ref="G1:G2"/>
    <mergeCell ref="H1:H2"/>
    <mergeCell ref="I1:I2"/>
    <mergeCell ref="J1:P1"/>
    <mergeCell ref="X1:X2"/>
    <mergeCell ref="Y1:Y2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Algeo, Thomas (algeot)</dc:creator>
  <cp:lastModifiedBy>scyang</cp:lastModifiedBy>
  <dcterms:created xsi:type="dcterms:W3CDTF">2021-08-28T05:37:00Z</dcterms:created>
  <dcterms:modified xsi:type="dcterms:W3CDTF">2023-08-15T13:00:10Z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862BA84588E54476B7E4ABE7F211E41B</vt:lpwstr>
  </property>
  <property fmtid="{D5CDD505-2E9C-101B-9397-08002B2CF9AE}" pid="3" name="KSOProductBuildVer">
    <vt:lpwstr>2052-11.1.0.10700</vt:lpwstr>
  </property>
</Properties>
</file>